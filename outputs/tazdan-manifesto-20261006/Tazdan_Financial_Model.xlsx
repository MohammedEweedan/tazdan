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ccd19b101ab408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odel" sheetId="1" r:id="R1b146d32332248cb"/>
    <x:sheet xmlns:r="http://schemas.openxmlformats.org/officeDocument/2006/relationships" name="Assumptions" sheetId="2" r:id="R8341c1b956fa4406"/>
    <x:sheet xmlns:r="http://schemas.openxmlformats.org/officeDocument/2006/relationships" name="Valuation target" sheetId="3" r:id="R619bcf4cd94d49d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#,##0"/>
    <x:numFmt numFmtId="201" formatCode="0.0"/>
    <x:numFmt numFmtId="202" formatCode="&quot;$&quot;#,##0"/>
    <x:numFmt numFmtId="203" formatCode="0.0%"/>
    <x:numFmt numFmtId="204" formatCode="&quot;$&quot;#,##0.0"/>
    <x:numFmt numFmtId="205" formatCode="0"/>
    <x:numFmt numFmtId="206" formatCode="&quot;$&quot;#,##0.00;(&quot;$&quot;#,##0.00);–"/>
    <x:numFmt numFmtId="207" formatCode="&quot;$&quot;#,##0;(&quot;$&quot;#,##0);&quot;-&quot;"/>
    <x:numFmt numFmtId="208" formatCode="0.00&quot;x&quot;"/>
    <x:numFmt numFmtId="209" formatCode="0.00%"/>
    <x:numFmt numFmtId="210" formatCode="0.0&quot;x&quot;"/>
  </x:numFmts>
  <x:fonts count="9">
    <x:font>
      <x:sz val="11"/>
      <x:name val="Carlito"/>
    </x:font>
    <x:font>
      <x:b/>
      <x:sz val="10"/>
      <x:color rgb="FF12304A"/>
      <x:name val="Arial"/>
    </x:font>
    <x:font>
      <x:sz val="10"/>
      <x:color rgb="FF1353A4"/>
      <x:name val="Arial"/>
    </x:font>
    <x:font>
      <x:sz val="10"/>
      <x:color rgb="FF203446"/>
      <x:name val="Arial"/>
    </x:font>
    <x:font>
      <x:b/>
      <x:sz val="10"/>
      <x:color rgb="FF203446"/>
      <x:name val="Arial"/>
    </x:font>
    <x:font>
      <x:b/>
      <x:sz val="15"/>
      <x:color rgb="FF12304A"/>
      <x:name val="Arial"/>
    </x:font>
    <x:font>
      <x:b/>
      <x:sz val="10"/>
      <x:color rgb="FFFFFFFF"/>
      <x:name val="Arial"/>
    </x:font>
    <x:font>
      <x:b/>
      <x:sz val="10"/>
      <x:color rgb="FF167848"/>
      <x:name val="Arial"/>
    </x:font>
    <x:font>
      <x:i/>
      <x:sz val="9"/>
      <x:color rgb="FF647586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EAF2F7"/>
      </x:patternFill>
    </x:fill>
    <x:fill>
      <x:patternFill patternType="solid">
        <x:fgColor rgb="FF12304A"/>
      </x:patternFill>
    </x:fill>
    <x:fill>
      <x:patternFill patternType="solid">
        <x:fgColor rgb="FFFFF2C7"/>
      </x:patternFill>
    </x:fill>
    <x:fill>
      <x:patternFill patternType="solid">
        <x:fgColor rgb="FF12304A"/>
      </x:patternFill>
    </x:fill>
    <x:fill>
      <x:patternFill patternType="solid">
        <x:fgColor rgb="FFFFF2C7"/>
      </x:patternFill>
    </x:fill>
    <x:fill>
      <x:patternFill patternType="solid">
        <x:fgColor rgb="FF12304A"/>
      </x:patternFill>
    </x:fill>
    <x:fill>
      <x:patternFill patternType="solid">
        <x:fgColor rgb="FFFFF2C7"/>
      </x:patternFill>
    </x:fill>
  </x:fills>
  <x:borders count="2">
    <x:border/>
    <x:border>
      <x:bottom style="thin">
        <x:color rgb="FF9DB5C5"/>
      </x:bottom>
    </x:border>
  </x:borders>
  <x:cellStyleXfs count="1">
    <x:xf numFmtId="0" fontId="0" fillId="0" borderId="0"/>
  </x:cellStyleXfs>
  <x:cellXfs count="72">
    <x:xf numFmtId="0" fontId="0" fillId="0" borderId="0" xfId="0"/>
    <x:xf numFmtId="200" fontId="0" fillId="0" borderId="0" xfId="0" applyNumberFormat="1" applyFont="1" applyFill="1" applyBorder="1"/>
    <x:xf numFmtId="0" fontId="0" fillId="2" borderId="0" xfId="0" applyNumberFormat="1" applyFont="1" applyFill="1" applyBorder="1"/>
    <x:xf numFmtId="200" fontId="0" fillId="2" borderId="0" xfId="0" applyNumberFormat="1" applyFont="1" applyFill="1" applyBorder="1"/>
    <x:xf numFmtId="0" fontId="1" fillId="2" borderId="0" xfId="0" applyNumberFormat="1" applyFont="1" applyFill="1" applyBorder="1"/>
    <x:xf numFmtId="200" fontId="1" fillId="2" borderId="0" xfId="0" applyNumberFormat="1" applyFont="1" applyFill="1" applyBorder="1"/>
    <x:xf numFmtId="200" fontId="2" fillId="0" borderId="0" xfId="0" applyNumberFormat="1" applyFont="1" applyFill="1" applyBorder="1"/>
    <x:xf numFmtId="201" fontId="0" fillId="0" borderId="0" xfId="0" applyNumberFormat="1" applyFont="1" applyFill="1" applyBorder="1"/>
    <x:xf numFmtId="201" fontId="0" fillId="2" borderId="0" xfId="0" applyNumberFormat="1" applyFont="1" applyFill="1" applyBorder="1"/>
    <x:xf numFmtId="201" fontId="1" fillId="2" borderId="0" xfId="0" applyNumberFormat="1" applyFont="1" applyFill="1" applyBorder="1"/>
    <x:xf numFmtId="201" fontId="2" fillId="0" borderId="0" xfId="0" applyNumberFormat="1" applyFont="1" applyFill="1" applyBorder="1"/>
    <x:xf numFmtId="202" fontId="0" fillId="0" borderId="0" xfId="0" applyNumberFormat="1" applyFont="1" applyFill="1" applyBorder="1"/>
    <x:xf numFmtId="202" fontId="0" fillId="2" borderId="0" xfId="0" applyNumberFormat="1" applyFont="1" applyFill="1" applyBorder="1"/>
    <x:xf numFmtId="202" fontId="1" fillId="2" borderId="0" xfId="0" applyNumberFormat="1" applyFont="1" applyFill="1" applyBorder="1"/>
    <x:xf numFmtId="202" fontId="2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2" borderId="0" xfId="0" applyNumberFormat="1" applyFont="1" applyFill="1" applyBorder="1"/>
    <x:xf numFmtId="203" fontId="1" fillId="2" borderId="0" xfId="0" applyNumberFormat="1" applyFont="1" applyFill="1" applyBorder="1"/>
    <x:xf numFmtId="203" fontId="2" fillId="0" borderId="0" xfId="0" applyNumberFormat="1" applyFont="1" applyFill="1" applyBorder="1"/>
    <x:xf numFmtId="204" fontId="0" fillId="0" borderId="0" xfId="0" applyNumberFormat="1" applyFont="1" applyFill="1" applyBorder="1"/>
    <x:xf numFmtId="204" fontId="0" fillId="2" borderId="0" xfId="0" applyNumberFormat="1" applyFont="1" applyFill="1" applyBorder="1"/>
    <x:xf numFmtId="204" fontId="1" fillId="2" borderId="0" xfId="0" applyNumberFormat="1" applyFont="1" applyFill="1" applyBorder="1"/>
    <x:xf numFmtId="204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2" borderId="0" xfId="0" applyNumberFormat="1" applyFont="1" applyFill="1" applyBorder="1"/>
    <x:xf numFmtId="200" fontId="4" fillId="2" borderId="0" xfId="0" applyNumberFormat="1" applyFont="1" applyFill="1" applyBorder="1"/>
    <x:xf numFmtId="200" fontId="3" fillId="0" borderId="0" xfId="0" applyNumberFormat="1" applyFont="1" applyFill="1" applyBorder="1"/>
    <x:xf numFmtId="201" fontId="4" fillId="2" borderId="0" xfId="0" applyNumberFormat="1" applyFont="1" applyFill="1" applyBorder="1"/>
    <x:xf numFmtId="201" fontId="3" fillId="0" borderId="0" xfId="0" applyNumberFormat="1" applyFont="1" applyFill="1" applyBorder="1"/>
    <x:xf numFmtId="202" fontId="4" fillId="2" borderId="0" xfId="0" applyNumberFormat="1" applyFont="1" applyFill="1" applyBorder="1"/>
    <x:xf numFmtId="202" fontId="3" fillId="0" borderId="0" xfId="0" applyNumberFormat="1" applyFont="1" applyFill="1" applyBorder="1"/>
    <x:xf numFmtId="203" fontId="4" fillId="2" borderId="0" xfId="0" applyNumberFormat="1" applyFont="1" applyFill="1" applyBorder="1"/>
    <x:xf numFmtId="203" fontId="3" fillId="0" borderId="0" xfId="0" applyNumberFormat="1" applyFont="1" applyFill="1" applyBorder="1"/>
    <x:xf numFmtId="204" fontId="4" fillId="2" borderId="0" xfId="0" applyNumberFormat="1" applyFont="1" applyFill="1" applyBorder="1"/>
    <x:xf numFmtId="204" fontId="3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3" borderId="0" xfId="0" applyNumberFormat="1" applyFont="1" applyFill="1" applyBorder="1"/>
    <x:xf numFmtId="0" fontId="6" fillId="3" borderId="0" xfId="0" applyNumberFormat="1" applyFont="1" applyFill="1" applyBorder="1"/>
    <x:xf numFmtId="0" fontId="3" fillId="4" borderId="0" xfId="0" applyNumberFormat="1" applyFont="1" applyFill="1" applyBorder="1"/>
    <x:xf numFmtId="0" fontId="2" fillId="4" borderId="0" xfId="0" applyNumberFormat="1" applyFont="1" applyFill="1" applyBorder="1"/>
    <x:xf numFmtId="203" fontId="2" fillId="4" borderId="0" xfId="0" applyNumberFormat="1" applyFont="1" applyFill="1" applyBorder="1"/>
    <x:xf numFmtId="205" fontId="2" fillId="4" borderId="0" xfId="0" applyNumberFormat="1" applyFont="1" applyFill="1" applyBorder="1"/>
    <x:xf numFmtId="0" fontId="3" fillId="2" borderId="0" xfId="0" applyNumberFormat="1" applyFont="1" applyFill="1" applyBorder="1"/>
    <x:xf numFmtId="0" fontId="7" fillId="2" borderId="0" xfId="0" applyNumberFormat="1" applyFont="1" applyFill="1" applyBorder="1"/>
    <x:xf numFmtId="206" fontId="3" fillId="0" borderId="0" xfId="0" applyNumberFormat="1" applyFont="1" applyFill="1" applyBorder="1"/>
    <x:xf numFmtId="0" fontId="1" fillId="0" borderId="0" xfId="0" applyNumberFormat="1" applyFont="1" applyFill="1" applyBorder="1"/>
    <x:xf numFmtId="206" fontId="1" fillId="0" borderId="0" xfId="0" applyNumberFormat="1" applyFont="1" applyFill="1" applyBorder="1"/>
    <x:xf numFmtId="0" fontId="1" fillId="0" borderId="1" xfId="0" applyNumberFormat="1" applyFont="1" applyFill="1" applyBorder="1"/>
    <x:xf numFmtId="206" fontId="1" fillId="0" borderId="1" xfId="0" applyNumberFormat="1" applyFont="1" applyFill="1" applyBorder="1"/>
    <x:xf numFmtId="0" fontId="8" fillId="0" borderId="0" xfId="0" applyNumberFormat="1" applyFont="1" applyFill="1" applyBorder="1"/>
    <x:xf numFmtId="0" fontId="3" fillId="5" borderId="0" xfId="0" applyNumberFormat="1" applyFont="1" applyFill="1" applyBorder="1"/>
    <x:xf numFmtId="0" fontId="6" fillId="5" borderId="0" xfId="0" applyNumberFormat="1" applyFont="1" applyFill="1" applyBorder="1"/>
    <x:xf numFmtId="0" fontId="3" fillId="6" borderId="0" xfId="0" applyNumberFormat="1" applyFont="1" applyFill="1" applyBorder="1"/>
    <x:xf numFmtId="0" fontId="2" fillId="6" borderId="0" xfId="0" applyNumberFormat="1" applyFont="1" applyFill="1" applyBorder="1"/>
    <x:xf numFmtId="207" fontId="3" fillId="0" borderId="0" xfId="0" applyNumberFormat="1" applyFont="1" applyFill="1" applyBorder="1"/>
    <x:xf numFmtId="208" fontId="3" fillId="0" borderId="0" xfId="0" applyNumberFormat="1" applyFont="1" applyFill="1" applyBorder="1"/>
    <x:xf numFmtId="200" fontId="2" fillId="6" borderId="0" xfId="0" applyNumberFormat="1" applyFont="1" applyFill="1" applyBorder="1"/>
    <x:xf numFmtId="202" fontId="2" fillId="6" borderId="0" xfId="0" applyNumberFormat="1" applyFont="1" applyFill="1" applyBorder="1"/>
    <x:xf numFmtId="203" fontId="2" fillId="6" borderId="0" xfId="0" applyNumberFormat="1" applyFont="1" applyFill="1" applyBorder="1"/>
    <x:xf numFmtId="209" fontId="2" fillId="6" borderId="0" xfId="0" applyNumberFormat="1" applyFont="1" applyFill="1" applyBorder="1"/>
    <x:xf numFmtId="210" fontId="2" fillId="6" borderId="0" xfId="0" applyNumberFormat="1" applyFont="1" applyFill="1" applyBorder="1"/>
    <x:xf numFmtId="207" fontId="1" fillId="0" borderId="0" xfId="0" applyNumberFormat="1" applyFont="1" applyFill="1" applyBorder="1"/>
    <x:xf numFmtId="207" fontId="1" fillId="0" borderId="1" xfId="0" applyNumberFormat="1" applyFont="1" applyFill="1" applyBorder="1"/>
    <x:xf numFmtId="0" fontId="3" fillId="7" borderId="0" xfId="0" applyNumberFormat="1" applyFont="1" applyFill="1" applyBorder="1"/>
    <x:xf numFmtId="0" fontId="6" fillId="7" borderId="0" xfId="0" applyNumberFormat="1" applyFont="1" applyFill="1" applyBorder="1"/>
    <x:xf numFmtId="0" fontId="3" fillId="8" borderId="0" xfId="0" applyNumberFormat="1" applyFont="1" applyFill="1" applyBorder="1"/>
    <x:xf numFmtId="0" fontId="2" fillId="8" borderId="0" xfId="0" applyNumberFormat="1" applyFont="1" applyFill="1" applyBorder="1"/>
    <x:xf numFmtId="200" fontId="2" fillId="8" borderId="0" xfId="0" applyNumberFormat="1" applyFont="1" applyFill="1" applyBorder="1"/>
    <x:xf numFmtId="202" fontId="2" fillId="8" borderId="0" xfId="0" applyNumberFormat="1" applyFont="1" applyFill="1" applyBorder="1"/>
    <x:xf numFmtId="203" fontId="2" fillId="8" borderId="0" xfId="0" applyNumberFormat="1" applyFont="1" applyFill="1" applyBorder="1"/>
    <x:xf numFmtId="209" fontId="2" fillId="8" borderId="0" xfId="0" applyNumberFormat="1" applyFont="1" applyFill="1" applyBorder="1"/>
    <x:xf numFmtId="210" fontId="2" fillId="8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1f623f30844168" /><Relationship Type="http://schemas.openxmlformats.org/officeDocument/2006/relationships/theme" Target="/xl/theme/theme1.xml" Id="Re611fc41b878498f" /><Relationship Type="http://schemas.openxmlformats.org/officeDocument/2006/relationships/sharedStrings" Target="/xl/sharedStrings.xml" Id="R5b5d758149c9487d" /><Relationship Type="http://schemas.openxmlformats.org/officeDocument/2006/relationships/worksheet" Target="/xl/worksheets/sheet1.xml" Id="R1b146d32332248cb" /><Relationship Type="http://schemas.openxmlformats.org/officeDocument/2006/relationships/worksheet" Target="/xl/worksheets/sheet2.xml" Id="R8341c1b956fa4406" /><Relationship Type="http://schemas.openxmlformats.org/officeDocument/2006/relationships/worksheet" Target="/xl/worksheets/sheet3.xml" Id="R619bcf4cd94d49d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Pr>
    <x:tabColor rgb="FF12304A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" hidden="0" customWidth="1"/>
    <x:col min="2" max="2" width="3" hidden="0" customWidth="1"/>
    <x:col min="3" max="3" width="42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 ht="21" customHeight="1">
      <x:c r="A1" s="23"/>
      <x:c r="B1" s="23"/>
      <x:c r="C1" s="23"/>
      <x:c r="D1" s="23"/>
      <x:c r="E1" s="23"/>
      <x:c r="F1" s="23"/>
      <x:c r="G1" s="23"/>
      <x:c r="H1" s="23"/>
    </x:row>
    <x:row r="2" ht="30" customHeight="1">
      <x:c r="A2" s="23"/>
      <x:c r="B2" s="23"/>
      <x:c r="C2" s="35" t="str">
        <x:v>Tazdan illustrative financial model</x:v>
      </x:c>
      <x:c r="D2" s="23"/>
      <x:c r="E2" s="23"/>
      <x:c r="F2" s="23"/>
      <x:c r="G2" s="23"/>
      <x:c r="H2" s="23"/>
    </x:row>
    <x:row r="3" ht="21" customHeight="1">
      <x:c r="A3" s="23"/>
      <x:c r="B3" s="23"/>
      <x:c r="C3" s="23"/>
      <x:c r="D3" s="23"/>
      <x:c r="E3" s="23"/>
      <x:c r="F3" s="23"/>
      <x:c r="G3" s="23"/>
      <x:c r="H3" s="23"/>
    </x:row>
    <x:row r="4" ht="21" customHeight="1">
      <x:c r="A4" s="23"/>
      <x:c r="B4" s="23"/>
      <x:c r="C4" s="23" t="str">
        <x:v>Selected case</x:v>
      </x:c>
      <x:c r="D4" s="43" t="str">
        <x:f>'Assumptions'!D3</x:f>
        <x:v>Base</x:v>
      </x:c>
      <x:c r="E4" s="23"/>
      <x:c r="F4" s="23"/>
      <x:c r="G4" s="23"/>
      <x:c r="H4" s="23"/>
    </x:row>
    <x:row r="5" ht="21" customHeight="1">
      <x:c r="A5" s="23"/>
      <x:c r="B5" s="23"/>
      <x:c r="C5" s="37" t="str">
        <x:v>Metric</x:v>
      </x:c>
      <x:c r="D5" s="37" t="str">
        <x:v>Y1</x:v>
      </x:c>
      <x:c r="E5" s="37" t="str">
        <x:v>Y3</x:v>
      </x:c>
      <x:c r="F5" s="37" t="str">
        <x:v>Y5</x:v>
      </x:c>
      <x:c r="G5" s="37" t="str">
        <x:v>Y10</x:v>
      </x:c>
      <x:c r="H5" s="23"/>
    </x:row>
    <x:row r="6" ht="21" customHeight="1">
      <x:c r="A6" s="23"/>
      <x:c r="B6" s="23"/>
      <x:c r="C6" s="23" t="str">
        <x:v>Annual transaction volume (USD m)</x:v>
      </x:c>
      <x:c r="D6" s="44" t="n">
        <x:f>D31</x:f>
        <x:v>27</x:v>
      </x:c>
      <x:c r="E6" s="44" t="n">
        <x:f>E31</x:f>
        <x:v>356.4</x:v>
      </x:c>
      <x:c r="F6" s="44" t="n">
        <x:f>F31</x:f>
        <x:v>1570.8</x:v>
      </x:c>
      <x:c r="G6" s="44" t="n">
        <x:f>G31</x:f>
        <x:v>8112</x:v>
      </x:c>
      <x:c r="H6" s="23"/>
    </x:row>
    <x:row r="7" ht="21" customHeight="1">
      <x:c r="A7" s="23"/>
      <x:c r="B7" s="23"/>
      <x:c r="C7" s="23" t="str">
        <x:v>Revenue (USD m)</x:v>
      </x:c>
      <x:c r="D7" s="44" t="n">
        <x:f>D33</x:f>
        <x:v>0.40499999999999997</x:v>
      </x:c>
      <x:c r="E7" s="44" t="n">
        <x:f>E33</x:f>
        <x:v>4.6331999999999995</x:v>
      </x:c>
      <x:c r="F7" s="44" t="n">
        <x:f>F33</x:f>
        <x:v>17.278799999999997</x:v>
      </x:c>
      <x:c r="G7" s="44" t="n">
        <x:f>G33</x:f>
        <x:v>81.12</x:v>
      </x:c>
      <x:c r="H7" s="23"/>
    </x:row>
    <x:row r="8" ht="21" customHeight="1">
      <x:c r="A8" s="23"/>
      <x:c r="B8" s="23"/>
      <x:c r="C8" s="23" t="str">
        <x:v>Gross profit (USD m)</x:v>
      </x:c>
      <x:c r="D8" s="44" t="n">
        <x:f>D35</x:f>
        <x:v>0.18225</x:v>
      </x:c>
      <x:c r="E8" s="44" t="n">
        <x:f>E35</x:f>
        <x:v>2.3165999999999998</x:v>
      </x:c>
      <x:c r="F8" s="44" t="n">
        <x:f>F35</x:f>
        <x:v>9.50334</x:v>
      </x:c>
      <x:c r="G8" s="44" t="n">
        <x:f>G35</x:f>
        <x:v>51.9168</x:v>
      </x:c>
      <x:c r="H8" s="23"/>
    </x:row>
    <x:row r="9" ht="21" customHeight="1">
      <x:c r="A9" s="23"/>
      <x:c r="B9" s="23"/>
      <x:c r="C9" s="47" t="str">
        <x:v>EBITDA (USD m)</x:v>
      </x:c>
      <x:c r="D9" s="48" t="n">
        <x:f>D40</x:f>
        <x:v>-1.31775</x:v>
      </x:c>
      <x:c r="E9" s="48" t="n">
        <x:f>E40</x:f>
        <x:v>-1.6834000000000002</x:v>
      </x:c>
      <x:c r="F9" s="48" t="n">
        <x:f>F40</x:f>
        <x:v>-0.4966600000000003</x:v>
      </x:c>
      <x:c r="G9" s="48" t="n">
        <x:f>G40</x:f>
        <x:v>11.916800000000002</x:v>
      </x:c>
      <x:c r="H9" s="23"/>
    </x:row>
    <x:row r="10" ht="21" customHeight="1">
      <x:c r="A10" s="23"/>
      <x:c r="B10" s="23"/>
      <x:c r="C10" s="47" t="str">
        <x:v>Illustrative net income (USD m)</x:v>
      </x:c>
      <x:c r="D10" s="48" t="n">
        <x:f>D44</x:f>
        <x:v>-1.34205</x:v>
      </x:c>
      <x:c r="E10" s="48" t="n">
        <x:f>E44</x:f>
        <x:v>-1.9613920000000002</x:v>
      </x:c>
      <x:c r="F10" s="48" t="n">
        <x:f>F44</x:f>
        <x:v>-1.5333880000000002</x:v>
      </x:c>
      <x:c r="G10" s="48" t="n">
        <x:f>G44</x:f>
        <x:v>5.639680000000001</x:v>
      </x:c>
      <x:c r="H10" s="23"/>
    </x:row>
    <x:row r="11" ht="21" customHeight="1">
      <x:c r="A11" s="23"/>
      <x:c r="B11" s="23"/>
      <x:c r="C11" s="23" t="str">
        <x:v>Remittance volume (USD m)</x:v>
      </x:c>
      <x:c r="D11" s="44" t="n">
        <x:f>D32</x:f>
        <x:v>4.32</x:v>
      </x:c>
      <x:c r="E11" s="44" t="n">
        <x:f>E32</x:f>
        <x:v>81.972</x:v>
      </x:c>
      <x:c r="F11" s="44" t="n">
        <x:f>F32</x:f>
        <x:v>471.23999999999995</x:v>
      </x:c>
      <x:c r="G11" s="44" t="n">
        <x:f>G32</x:f>
        <x:v>2920.3199999999997</x:v>
      </x:c>
      <x:c r="H11" s="23"/>
    </x:row>
    <x:row r="12" ht="21" customHeight="1">
      <x:c r="A12" s="23"/>
      <x:c r="B12" s="23"/>
      <x:c r="C12" s="47" t="str">
        <x:v>Indicative capital need (USD m)</x:v>
      </x:c>
      <x:c r="D12" s="48" t="n">
        <x:f>D46</x:f>
        <x:v>1.76475</x:v>
      </x:c>
      <x:c r="E12" s="48" t="n">
        <x:f>E46</x:f>
        <x:v>4.0496</x:v>
      </x:c>
      <x:c r="F12" s="48" t="n">
        <x:f>F46</x:f>
        <x:v>10.85066</x:v>
      </x:c>
      <x:c r="G12" s="48" t="n">
        <x:f>G46</x:f>
        <x:v>58.672</x:v>
      </x:c>
      <x:c r="H12" s="23"/>
    </x:row>
    <x:row r="13" ht="21" customHeight="1">
      <x:c r="A13" s="23"/>
      <x:c r="B13" s="23"/>
      <x:c r="C13" s="23"/>
      <x:c r="D13" s="23"/>
      <x:c r="E13" s="23"/>
      <x:c r="F13" s="23"/>
      <x:c r="G13" s="23"/>
      <x:c r="H13" s="23"/>
    </x:row>
    <x:row r="14" ht="21" customHeight="1">
      <x:c r="A14" s="23"/>
      <x:c r="B14" s="23"/>
      <x:c r="C14" s="23"/>
      <x:c r="D14" s="23"/>
      <x:c r="E14" s="23"/>
      <x:c r="F14" s="23"/>
      <x:c r="G14" s="23"/>
      <x:c r="H14" s="23"/>
    </x:row>
    <x:row r="15" ht="21" customHeight="1">
      <x:c r="A15" s="23"/>
      <x:c r="B15" s="23"/>
      <x:c r="C15" s="49" t="str">
        <x:v>Annual run rates at Y1, Y3, Y5 and Y10. USD millions unless stated. Figures are illustrative, not actuals.</x:v>
      </x:c>
      <x:c r="D15" s="49"/>
      <x:c r="E15" s="49"/>
      <x:c r="F15" s="49"/>
      <x:c r="G15" s="49"/>
      <x:c r="H15" s="23"/>
    </x:row>
    <x:row r="16" ht="21" customHeight="1">
      <x:c r="A16" s="23"/>
      <x:c r="B16" s="23"/>
      <x:c r="C16" s="23"/>
      <x:c r="D16" s="23"/>
      <x:c r="E16" s="23"/>
      <x:c r="F16" s="23"/>
      <x:c r="G16" s="23"/>
      <x:c r="H16" s="23"/>
    </x:row>
    <x:row r="17" ht="21" customHeight="1">
      <x:c r="A17" s="23"/>
      <x:c r="B17" s="23"/>
      <x:c r="C17" s="37" t="str">
        <x:v>Selected operating drivers</x:v>
      </x:c>
      <x:c r="D17" s="37"/>
      <x:c r="E17" s="37"/>
      <x:c r="F17" s="37"/>
      <x:c r="G17" s="37"/>
      <x:c r="H17" s="23"/>
    </x:row>
    <x:row r="18" ht="21" customHeight="1">
      <x:c r="A18" s="23"/>
      <x:c r="B18" s="23"/>
      <x:c r="C18" s="23"/>
      <x:c r="D18" s="23"/>
      <x:c r="E18" s="23"/>
      <x:c r="F18" s="23"/>
      <x:c r="G18" s="23"/>
      <x:c r="H18" s="23"/>
    </x:row>
    <x:row r="19" ht="21" customHeight="1">
      <x:c r="A19" s="23"/>
      <x:c r="B19" s="23"/>
      <x:c r="C19" s="23" t="str">
        <x:v>Registered users</x:v>
      </x:c>
      <x:c r="D19" s="26" t="n">
        <x:f>'Assumptions'!D14</x:f>
        <x:v>30000</x:v>
      </x:c>
      <x:c r="E19" s="26" t="n">
        <x:f>'Assumptions'!E14</x:f>
        <x:v>180000</x:v>
      </x:c>
      <x:c r="F19" s="26" t="n">
        <x:f>'Assumptions'!F14</x:f>
        <x:v>500000</x:v>
      </x:c>
      <x:c r="G19" s="26" t="n">
        <x:f>'Assumptions'!G14</x:f>
        <x:v>1500000</x:v>
      </x:c>
      <x:c r="H19" s="23"/>
    </x:row>
    <x:row r="20" ht="21" customHeight="1">
      <x:c r="A20" s="23"/>
      <x:c r="B20" s="23"/>
      <x:c r="C20" s="23" t="str">
        <x:v>Monthly active users</x:v>
      </x:c>
      <x:c r="D20" s="26" t="n">
        <x:f>'Assumptions'!D19</x:f>
        <x:v>6000</x:v>
      </x:c>
      <x:c r="E20" s="26" t="n">
        <x:f>'Assumptions'!E19</x:f>
        <x:v>55000</x:v>
      </x:c>
      <x:c r="F20" s="26" t="n">
        <x:f>'Assumptions'!F19</x:f>
        <x:v>170000</x:v>
      </x:c>
      <x:c r="G20" s="26" t="n">
        <x:f>'Assumptions'!G19</x:f>
        <x:v>650000</x:v>
      </x:c>
      <x:c r="H20" s="23"/>
    </x:row>
    <x:row r="21" ht="21" customHeight="1">
      <x:c r="A21" s="23"/>
      <x:c r="B21" s="23"/>
      <x:c r="C21" s="23" t="str">
        <x:v>Active businesses</x:v>
      </x:c>
      <x:c r="D21" s="26" t="n">
        <x:f>'Assumptions'!D24</x:f>
        <x:v>50</x:v>
      </x:c>
      <x:c r="E21" s="26" t="n">
        <x:f>'Assumptions'!E24</x:f>
        <x:v>500</x:v>
      </x:c>
      <x:c r="F21" s="26" t="n">
        <x:f>'Assumptions'!F24</x:f>
        <x:v>2000</x:v>
      </x:c>
      <x:c r="G21" s="26" t="n">
        <x:f>'Assumptions'!G24</x:f>
        <x:v>9000</x:v>
      </x:c>
      <x:c r="H21" s="23"/>
    </x:row>
    <x:row r="22" ht="21" customHeight="1">
      <x:c r="A22" s="23"/>
      <x:c r="B22" s="23"/>
      <x:c r="C22" s="23" t="str">
        <x:v>Transactions per MAU per month</x:v>
      </x:c>
      <x:c r="D22" s="28" t="n">
        <x:f>'Assumptions'!D29</x:f>
        <x:v>2.5</x:v>
      </x:c>
      <x:c r="E22" s="28" t="n">
        <x:f>'Assumptions'!E29</x:f>
        <x:v>3</x:v>
      </x:c>
      <x:c r="F22" s="28" t="n">
        <x:f>'Assumptions'!F29</x:f>
        <x:v>3.5</x:v>
      </x:c>
      <x:c r="G22" s="28" t="n">
        <x:f>'Assumptions'!G29</x:f>
        <x:v>4</x:v>
      </x:c>
      <x:c r="H22" s="23"/>
    </x:row>
    <x:row r="23" ht="21" customHeight="1">
      <x:c r="A23" s="23"/>
      <x:c r="B23" s="23"/>
      <x:c r="C23" s="23" t="str">
        <x:v>Average ticket (USD)</x:v>
      </x:c>
      <x:c r="D23" s="30" t="n">
        <x:f>'Assumptions'!D34</x:f>
        <x:v>150</x:v>
      </x:c>
      <x:c r="E23" s="30" t="n">
        <x:f>'Assumptions'!E34</x:f>
        <x:v>180</x:v>
      </x:c>
      <x:c r="F23" s="30" t="n">
        <x:f>'Assumptions'!F34</x:f>
        <x:v>220</x:v>
      </x:c>
      <x:c r="G23" s="30" t="n">
        <x:f>'Assumptions'!G34</x:f>
        <x:v>260</x:v>
      </x:c>
      <x:c r="H23" s="23"/>
    </x:row>
    <x:row r="24" ht="21" customHeight="1">
      <x:c r="A24" s="23"/>
      <x:c r="B24" s="23"/>
      <x:c r="C24" s="23" t="str">
        <x:v>Blended take rate</x:v>
      </x:c>
      <x:c r="D24" s="32" t="n">
        <x:f>'Assumptions'!D39</x:f>
        <x:v>0.015</x:v>
      </x:c>
      <x:c r="E24" s="32" t="n">
        <x:f>'Assumptions'!E39</x:f>
        <x:v>0.013</x:v>
      </x:c>
      <x:c r="F24" s="32" t="n">
        <x:f>'Assumptions'!F39</x:f>
        <x:v>0.011</x:v>
      </x:c>
      <x:c r="G24" s="32" t="n">
        <x:f>'Assumptions'!G39</x:f>
        <x:v>0.01</x:v>
      </x:c>
      <x:c r="H24" s="23"/>
    </x:row>
    <x:row r="25" ht="21" customHeight="1">
      <x:c r="A25" s="23"/>
      <x:c r="B25" s="23"/>
      <x:c r="C25" s="23" t="str">
        <x:v>Gross margin</x:v>
      </x:c>
      <x:c r="D25" s="32" t="n">
        <x:f>'Assumptions'!D44</x:f>
        <x:v>0.45</x:v>
      </x:c>
      <x:c r="E25" s="32" t="n">
        <x:f>'Assumptions'!E44</x:f>
        <x:v>0.5</x:v>
      </x:c>
      <x:c r="F25" s="32" t="n">
        <x:f>'Assumptions'!F44</x:f>
        <x:v>0.55</x:v>
      </x:c>
      <x:c r="G25" s="32" t="n">
        <x:f>'Assumptions'!G44</x:f>
        <x:v>0.64</x:v>
      </x:c>
      <x:c r="H25" s="23"/>
    </x:row>
    <x:row r="26" ht="21" customHeight="1">
      <x:c r="A26" s="23"/>
      <x:c r="B26" s="23"/>
      <x:c r="C26" s="23" t="str">
        <x:v>Operating expense (USD m)</x:v>
      </x:c>
      <x:c r="D26" s="34" t="n">
        <x:f>'Assumptions'!D49</x:f>
        <x:v>1.5</x:v>
      </x:c>
      <x:c r="E26" s="34" t="n">
        <x:f>'Assumptions'!E49</x:f>
        <x:v>4</x:v>
      </x:c>
      <x:c r="F26" s="34" t="n">
        <x:f>'Assumptions'!F49</x:f>
        <x:v>10</x:v>
      </x:c>
      <x:c r="G26" s="34" t="n">
        <x:f>'Assumptions'!G49</x:f>
        <x:v>40</x:v>
      </x:c>
      <x:c r="H26" s="23"/>
    </x:row>
    <x:row r="27" ht="21" customHeight="1">
      <x:c r="A27" s="23"/>
      <x:c r="B27" s="23"/>
      <x:c r="C27" s="23" t="str">
        <x:v>Staff</x:v>
      </x:c>
      <x:c r="D27" s="26" t="n">
        <x:f>'Assumptions'!D54</x:f>
        <x:v>22</x:v>
      </x:c>
      <x:c r="E27" s="26" t="n">
        <x:f>'Assumptions'!E54</x:f>
        <x:v>55</x:v>
      </x:c>
      <x:c r="F27" s="26" t="n">
        <x:f>'Assumptions'!F54</x:f>
        <x:v>120</x:v>
      </x:c>
      <x:c r="G27" s="26" t="n">
        <x:f>'Assumptions'!G54</x:f>
        <x:v>400</x:v>
      </x:c>
      <x:c r="H27" s="23"/>
    </x:row>
    <x:row r="28" ht="21" customHeight="1">
      <x:c r="A28" s="23"/>
      <x:c r="B28" s="23"/>
      <x:c r="C28" s="23" t="str">
        <x:v>Remittance share of volume</x:v>
      </x:c>
      <x:c r="D28" s="32" t="n">
        <x:f>'Assumptions'!D59</x:f>
        <x:v>0.16</x:v>
      </x:c>
      <x:c r="E28" s="32" t="n">
        <x:f>'Assumptions'!E59</x:f>
        <x:v>0.23</x:v>
      </x:c>
      <x:c r="F28" s="32" t="n">
        <x:f>'Assumptions'!F59</x:f>
        <x:v>0.3</x:v>
      </x:c>
      <x:c r="G28" s="32" t="n">
        <x:f>'Assumptions'!G59</x:f>
        <x:v>0.36</x:v>
      </x:c>
      <x:c r="H28" s="23"/>
    </x:row>
    <x:row r="29" ht="21" customHeight="1">
      <x:c r="A29" s="23"/>
      <x:c r="B29" s="23"/>
      <x:c r="C29" s="23"/>
      <x:c r="D29" s="23"/>
      <x:c r="E29" s="23"/>
      <x:c r="F29" s="23"/>
      <x:c r="G29" s="23"/>
      <x:c r="H29" s="23"/>
    </x:row>
    <x:row r="30" ht="21" customHeight="1">
      <x:c r="A30" s="23"/>
      <x:c r="B30" s="23"/>
      <x:c r="C30" s="37" t="str">
        <x:v>Financial build (USD m unless stated)</x:v>
      </x:c>
      <x:c r="D30" s="37"/>
      <x:c r="E30" s="37"/>
      <x:c r="F30" s="37"/>
      <x:c r="G30" s="37"/>
      <x:c r="H30" s="23"/>
    </x:row>
    <x:row r="31" ht="21" customHeight="1">
      <x:c r="A31" s="23"/>
      <x:c r="B31" s="23"/>
      <x:c r="C31" s="23" t="str">
        <x:v>Annual transaction volume</x:v>
      </x:c>
      <x:c r="D31" s="44" t="n">
        <x:f>D20*D22*D23*12/1000000</x:f>
        <x:v>27</x:v>
      </x:c>
      <x:c r="E31" s="44" t="n">
        <x:f>E20*E22*E23*12/1000000</x:f>
        <x:v>356.4</x:v>
      </x:c>
      <x:c r="F31" s="44" t="n">
        <x:f>F20*F22*F23*12/1000000</x:f>
        <x:v>1570.8</x:v>
      </x:c>
      <x:c r="G31" s="44" t="n">
        <x:f>G20*G22*G23*12/1000000</x:f>
        <x:v>8112</x:v>
      </x:c>
      <x:c r="H31" s="23"/>
    </x:row>
    <x:row r="32" ht="21" customHeight="1">
      <x:c r="A32" s="23"/>
      <x:c r="B32" s="23"/>
      <x:c r="C32" s="23" t="str">
        <x:v>Remittance volume</x:v>
      </x:c>
      <x:c r="D32" s="44" t="n">
        <x:f>D31*D28</x:f>
        <x:v>4.32</x:v>
      </x:c>
      <x:c r="E32" s="44" t="n">
        <x:f>E31*E28</x:f>
        <x:v>81.972</x:v>
      </x:c>
      <x:c r="F32" s="44" t="n">
        <x:f>F31*F28</x:f>
        <x:v>471.23999999999995</x:v>
      </x:c>
      <x:c r="G32" s="44" t="n">
        <x:f>G31*G28</x:f>
        <x:v>2920.3199999999997</x:v>
      </x:c>
      <x:c r="H32" s="23"/>
    </x:row>
    <x:row r="33" ht="21" customHeight="1">
      <x:c r="A33" s="23"/>
      <x:c r="B33" s="23"/>
      <x:c r="C33" s="23" t="str">
        <x:v>Revenue</x:v>
      </x:c>
      <x:c r="D33" s="44" t="n">
        <x:f>D31*D24</x:f>
        <x:v>0.40499999999999997</x:v>
      </x:c>
      <x:c r="E33" s="44" t="n">
        <x:f>E31*E24</x:f>
        <x:v>4.6331999999999995</x:v>
      </x:c>
      <x:c r="F33" s="44" t="n">
        <x:f>F31*F24</x:f>
        <x:v>17.278799999999997</x:v>
      </x:c>
      <x:c r="G33" s="44" t="n">
        <x:f>G31*G24</x:f>
        <x:v>81.12</x:v>
      </x:c>
      <x:c r="H33" s="23"/>
    </x:row>
    <x:row r="34" ht="21" customHeight="1">
      <x:c r="A34" s="23"/>
      <x:c r="B34" s="23"/>
      <x:c r="C34" s="23" t="str">
        <x:v>Partner and processing cost</x:v>
      </x:c>
      <x:c r="D34" s="44" t="n">
        <x:f>D33-D35</x:f>
        <x:v>0.22274999999999998</x:v>
      </x:c>
      <x:c r="E34" s="44" t="n">
        <x:f>E33-E35</x:f>
        <x:v>2.3165999999999998</x:v>
      </x:c>
      <x:c r="F34" s="44" t="n">
        <x:f>F33-F35</x:f>
        <x:v>7.775459999999997</x:v>
      </x:c>
      <x:c r="G34" s="44" t="n">
        <x:f>G33-G35</x:f>
        <x:v>29.203200000000002</x:v>
      </x:c>
      <x:c r="H34" s="23"/>
    </x:row>
    <x:row r="35" ht="21" customHeight="1">
      <x:c r="A35" s="23"/>
      <x:c r="B35" s="23"/>
      <x:c r="C35" s="47" t="str">
        <x:v>Gross profit</x:v>
      </x:c>
      <x:c r="D35" s="48" t="n">
        <x:f>D33*D25</x:f>
        <x:v>0.18225</x:v>
      </x:c>
      <x:c r="E35" s="48" t="n">
        <x:f>E33*E25</x:f>
        <x:v>2.3165999999999998</x:v>
      </x:c>
      <x:c r="F35" s="48" t="n">
        <x:f>F33*F25</x:f>
        <x:v>9.50334</x:v>
      </x:c>
      <x:c r="G35" s="48" t="n">
        <x:f>G33*G25</x:f>
        <x:v>51.9168</x:v>
      </x:c>
      <x:c r="H35" s="23"/>
    </x:row>
    <x:row r="36" ht="21" customHeight="1">
      <x:c r="A36" s="23"/>
      <x:c r="B36" s="23"/>
      <x:c r="C36" s="23" t="str">
        <x:v>Technology expense</x:v>
      </x:c>
      <x:c r="D36" s="44" t="n">
        <x:f>D26*'Assumptions'!$B$8</x:f>
        <x:v>0.27</x:v>
      </x:c>
      <x:c r="E36" s="44" t="n">
        <x:f>E26*'Assumptions'!$B$8</x:f>
        <x:v>0.72</x:v>
      </x:c>
      <x:c r="F36" s="44" t="n">
        <x:f>F26*'Assumptions'!$B$8</x:f>
        <x:v>1.7999999999999998</x:v>
      </x:c>
      <x:c r="G36" s="44" t="n">
        <x:f>G26*'Assumptions'!$B$8</x:f>
        <x:v>7.199999999999999</x:v>
      </x:c>
      <x:c r="H36" s="23"/>
    </x:row>
    <x:row r="37" ht="21" customHeight="1">
      <x:c r="A37" s="23"/>
      <x:c r="B37" s="23"/>
      <x:c r="C37" s="23" t="str">
        <x:v>Compliance expense</x:v>
      </x:c>
      <x:c r="D37" s="44" t="n">
        <x:f>D26*'Assumptions'!$B$9</x:f>
        <x:v>0.24</x:v>
      </x:c>
      <x:c r="E37" s="44" t="n">
        <x:f>E26*'Assumptions'!$B$9</x:f>
        <x:v>0.64</x:v>
      </x:c>
      <x:c r="F37" s="44" t="n">
        <x:f>F26*'Assumptions'!$B$9</x:f>
        <x:v>1.6</x:v>
      </x:c>
      <x:c r="G37" s="44" t="n">
        <x:f>G26*'Assumptions'!$B$9</x:f>
        <x:v>6.4</x:v>
      </x:c>
      <x:c r="H37" s="23"/>
    </x:row>
    <x:row r="38" ht="21" customHeight="1">
      <x:c r="A38" s="23"/>
      <x:c r="B38" s="23"/>
      <x:c r="C38" s="23" t="str">
        <x:v>Marketing expense</x:v>
      </x:c>
      <x:c r="D38" s="44" t="n">
        <x:f>D26*'Assumptions'!$B$10</x:f>
        <x:v>0.30000000000000004</x:v>
      </x:c>
      <x:c r="E38" s="44" t="n">
        <x:f>E26*'Assumptions'!$B$10</x:f>
        <x:v>0.8</x:v>
      </x:c>
      <x:c r="F38" s="44" t="n">
        <x:f>F26*'Assumptions'!$B$10</x:f>
        <x:v>2</x:v>
      </x:c>
      <x:c r="G38" s="44" t="n">
        <x:f>G26*'Assumptions'!$B$10</x:f>
        <x:v>8</x:v>
      </x:c>
      <x:c r="H38" s="23"/>
    </x:row>
    <x:row r="39" ht="21" customHeight="1">
      <x:c r="A39" s="23"/>
      <x:c r="B39" s="23"/>
      <x:c r="C39" s="23" t="str">
        <x:v>Other operating expense</x:v>
      </x:c>
      <x:c r="D39" s="44" t="n">
        <x:f>D26-SUM(D36:D38)</x:f>
        <x:v>0.69</x:v>
      </x:c>
      <x:c r="E39" s="44" t="n">
        <x:f>E26-SUM(E36:E38)</x:f>
        <x:v>1.8399999999999999</x:v>
      </x:c>
      <x:c r="F39" s="44" t="n">
        <x:f>F26-SUM(F36:F38)</x:f>
        <x:v>4.6</x:v>
      </x:c>
      <x:c r="G39" s="44" t="n">
        <x:f>G26-SUM(G36:G38)</x:f>
        <x:v>18.4</x:v>
      </x:c>
      <x:c r="H39" s="23"/>
    </x:row>
    <x:row r="40" ht="21" customHeight="1">
      <x:c r="A40" s="23"/>
      <x:c r="B40" s="23"/>
      <x:c r="C40" s="47" t="str">
        <x:v>EBITDA</x:v>
      </x:c>
      <x:c r="D40" s="48" t="n">
        <x:f>D35-D26</x:f>
        <x:v>-1.31775</x:v>
      </x:c>
      <x:c r="E40" s="48" t="n">
        <x:f>E35-E26</x:f>
        <x:v>-1.6834000000000002</x:v>
      </x:c>
      <x:c r="F40" s="48" t="n">
        <x:f>F35-F26</x:f>
        <x:v>-0.4966600000000003</x:v>
      </x:c>
      <x:c r="G40" s="48" t="n">
        <x:f>G35-G26</x:f>
        <x:v>11.916800000000002</x:v>
      </x:c>
      <x:c r="H40" s="23"/>
    </x:row>
    <x:row r="41" ht="21" customHeight="1">
      <x:c r="A41" s="23"/>
      <x:c r="B41" s="23"/>
      <x:c r="C41" s="23" t="str">
        <x:v>D&amp;A, finance and other allowance</x:v>
      </x:c>
      <x:c r="D41" s="44" t="n">
        <x:f>D33*'Assumptions'!$B$4</x:f>
        <x:v>0.0243</x:v>
      </x:c>
      <x:c r="E41" s="44" t="n">
        <x:f>E33*'Assumptions'!$B$4</x:f>
        <x:v>0.27799199999999996</x:v>
      </x:c>
      <x:c r="F41" s="44" t="n">
        <x:f>F33*'Assumptions'!$B$4</x:f>
        <x:v>1.0367279999999999</x:v>
      </x:c>
      <x:c r="G41" s="44" t="n">
        <x:f>G33*'Assumptions'!$B$4</x:f>
        <x:v>4.8672</x:v>
      </x:c>
      <x:c r="H41" s="23"/>
    </x:row>
    <x:row r="42" ht="21" customHeight="1">
      <x:c r="A42" s="23"/>
      <x:c r="B42" s="23"/>
      <x:c r="C42" s="23" t="str">
        <x:v>Positive income after allowance</x:v>
      </x:c>
      <x:c r="D42" s="44" t="n">
        <x:f>MAX(0,D40-D41)</x:f>
        <x:v>0</x:v>
      </x:c>
      <x:c r="E42" s="44" t="n">
        <x:f>MAX(0,E40-E41)</x:f>
        <x:v>0</x:v>
      </x:c>
      <x:c r="F42" s="44" t="n">
        <x:f>MAX(0,F40-F41)</x:f>
        <x:v>0</x:v>
      </x:c>
      <x:c r="G42" s="44" t="n">
        <x:f>MAX(0,G40-G41)</x:f>
        <x:v>7.049600000000002</x:v>
      </x:c>
      <x:c r="H42" s="23"/>
    </x:row>
    <x:row r="43" ht="21" customHeight="1">
      <x:c r="A43" s="23"/>
      <x:c r="B43" s="23"/>
      <x:c r="C43" s="23" t="str">
        <x:v>Illustrative tax</x:v>
      </x:c>
      <x:c r="D43" s="44" t="n">
        <x:f>D42*'Assumptions'!$B$5</x:f>
        <x:v>0</x:v>
      </x:c>
      <x:c r="E43" s="44" t="n">
        <x:f>E42*'Assumptions'!$B$5</x:f>
        <x:v>0</x:v>
      </x:c>
      <x:c r="F43" s="44" t="n">
        <x:f>F42*'Assumptions'!$B$5</x:f>
        <x:v>0</x:v>
      </x:c>
      <x:c r="G43" s="44" t="n">
        <x:f>G42*'Assumptions'!$B$5</x:f>
        <x:v>1.4099200000000005</x:v>
      </x:c>
      <x:c r="H43" s="23"/>
    </x:row>
    <x:row r="44" ht="21" customHeight="1">
      <x:c r="A44" s="23"/>
      <x:c r="B44" s="23"/>
      <x:c r="C44" s="47" t="str">
        <x:v>Illustrative net income</x:v>
      </x:c>
      <x:c r="D44" s="48" t="n">
        <x:f>D40-D41-D43</x:f>
        <x:v>-1.34205</x:v>
      </x:c>
      <x:c r="E44" s="48" t="n">
        <x:f>E40-E41-E43</x:f>
        <x:v>-1.9613920000000002</x:v>
      </x:c>
      <x:c r="F44" s="48" t="n">
        <x:f>F40-F41-F43</x:f>
        <x:v>-1.5333880000000002</x:v>
      </x:c>
      <x:c r="G44" s="48" t="n">
        <x:f>G40-G41-G43</x:f>
        <x:v>5.639680000000001</x:v>
      </x:c>
      <x:c r="H44" s="23"/>
    </x:row>
    <x:row r="45" ht="21" customHeight="1">
      <x:c r="A45" s="23"/>
      <x:c r="B45" s="23"/>
      <x:c r="C45" s="23" t="str">
        <x:v>Liquidity reserve</x:v>
      </x:c>
      <x:c r="D45" s="44" t="n">
        <x:f>D32/12*'Assumptions'!$B$6</x:f>
        <x:v>0.07200000000000001</x:v>
      </x:c>
      <x:c r="E45" s="44" t="n">
        <x:f>E32/12*'Assumptions'!$B$6</x:f>
        <x:v>1.3662</x:v>
      </x:c>
      <x:c r="F45" s="44" t="n">
        <x:f>F32/12*'Assumptions'!$B$6</x:f>
        <x:v>7.853999999999999</x:v>
      </x:c>
      <x:c r="G45" s="44" t="n">
        <x:f>G32/12*'Assumptions'!$B$6</x:f>
        <x:v>48.672</x:v>
      </x:c>
      <x:c r="H45" s="23"/>
    </x:row>
    <x:row r="46" ht="21" customHeight="1">
      <x:c r="A46" s="23"/>
      <x:c r="B46" s="23"/>
      <x:c r="C46" s="47" t="str">
        <x:v>Indicative capital need</x:v>
      </x:c>
      <x:c r="D46" s="48" t="n">
        <x:f>MAX(0,-D40)+D45+D26*'Assumptions'!$B$7</x:f>
        <x:v>1.76475</x:v>
      </x:c>
      <x:c r="E46" s="48" t="n">
        <x:f>MAX(0,-E40)+E45+E26*'Assumptions'!$B$7</x:f>
        <x:v>4.0496</x:v>
      </x:c>
      <x:c r="F46" s="48" t="n">
        <x:f>MAX(0,-F40)+F45+F26*'Assumptions'!$B$7</x:f>
        <x:v>10.85066</x:v>
      </x:c>
      <x:c r="G46" s="48" t="n">
        <x:f>MAX(0,-G40)+G45+G26*'Assumptions'!$B$7</x:f>
        <x:v>58.672</x:v>
      </x:c>
      <x:c r="H46" s="23"/>
    </x:row>
    <x:row r="47" ht="21" customHeight="1">
      <x:c r="A47" s="23"/>
      <x:c r="B47" s="23"/>
      <x:c r="C47" s="23"/>
      <x:c r="D47" s="23"/>
      <x:c r="E47" s="23"/>
      <x:c r="F47" s="23"/>
      <x:c r="G47" s="23"/>
      <x:c r="H47" s="23"/>
    </x:row>
    <x:row r="48" ht="21" customHeight="1">
      <x:c r="A48" s="23"/>
      <x:c r="B48" s="23"/>
      <x:c r="C48" s="49" t="str">
        <x:v>Capital need = EBITDA loss coverage + liquidity reserve + 25% operating buffer. No financing structure is assumed.</x:v>
      </x:c>
      <x:c r="D48" s="49"/>
      <x:c r="E48" s="49"/>
      <x:c r="F48" s="49"/>
      <x:c r="G48" s="49"/>
      <x:c r="H48" s="23"/>
    </x:row>
    <x:row r="49" ht="21" customHeight="1">
      <x:c r="A49" s="23"/>
      <x:c r="B49" s="23"/>
      <x:c r="C49" s="49" t="str">
        <x:v>Illustrative tax and expense allowance are planning proxies, not jurisdiction-specific accounting or tax advice.</x:v>
      </x:c>
      <x:c r="D49" s="49"/>
      <x:c r="E49" s="49"/>
      <x:c r="F49" s="49"/>
      <x:c r="G49" s="49"/>
      <x:c r="H49" s="23"/>
    </x:row>
    <x:row r="50" ht="21" customHeight="1">
      <x:c r="A50" s="23"/>
      <x:c r="B50" s="23"/>
      <x:c r="C50" s="23"/>
      <x:c r="D50" s="23"/>
      <x:c r="E50" s="23"/>
      <x:c r="F50" s="23"/>
      <x:c r="G50" s="23"/>
      <x:c r="H50" s="23"/>
    </x:row>
    <x:row r="51" ht="21" customHeight="1">
      <x:c r="A51" s="23"/>
      <x:c r="B51" s="23"/>
      <x:c r="C51" s="23"/>
      <x:c r="D51" s="23"/>
      <x:c r="E51" s="23"/>
      <x:c r="F51" s="23"/>
      <x:c r="G51" s="23"/>
      <x:c r="H51" s="23"/>
    </x:row>
    <x:row r="52" ht="21" customHeight="1">
      <x:c r="A52" s="23"/>
      <x:c r="B52" s="23"/>
      <x:c r="C52" s="23"/>
      <x:c r="D52" s="23"/>
      <x:c r="E52" s="23"/>
      <x:c r="F52" s="23"/>
      <x:c r="G52" s="23"/>
      <x:c r="H52" s="23"/>
    </x:row>
    <x:row r="53" ht="21" customHeight="1">
      <x:c r="A53" s="23"/>
      <x:c r="B53" s="23"/>
      <x:c r="C53" s="23"/>
      <x:c r="D53" s="23"/>
      <x:c r="E53" s="23"/>
      <x:c r="F53" s="23"/>
      <x:c r="G53" s="23"/>
      <x:c r="H53" s="23"/>
    </x:row>
    <x:row r="54" ht="21" customHeight="1">
      <x:c r="A54" s="23"/>
      <x:c r="B54" s="23"/>
      <x:c r="C54" s="23"/>
      <x:c r="D54" s="23"/>
      <x:c r="E54" s="23"/>
      <x:c r="F54" s="23"/>
      <x:c r="G54" s="23"/>
      <x:c r="H54" s="23"/>
    </x:row>
    <x:row r="55" ht="21" customHeight="1">
      <x:c r="A55" s="23"/>
      <x:c r="B55" s="23"/>
      <x:c r="C55" s="23"/>
      <x:c r="D55" s="23"/>
      <x:c r="E55" s="23"/>
      <x:c r="F55" s="23"/>
      <x:c r="G55" s="23"/>
      <x:c r="H55" s="23"/>
    </x:row>
    <x:row r="56" ht="21" customHeight="1">
      <x:c r="A56" s="23"/>
      <x:c r="B56" s="23"/>
      <x:c r="C56" s="23"/>
      <x:c r="D56" s="23"/>
      <x:c r="E56" s="23"/>
      <x:c r="F56" s="23"/>
      <x:c r="G56" s="23"/>
      <x:c r="H56" s="23"/>
    </x:row>
    <x:row r="57" ht="21" customHeight="1">
      <x:c r="A57" s="23"/>
      <x:c r="B57" s="23"/>
      <x:c r="C57" s="23"/>
      <x:c r="D57" s="23"/>
      <x:c r="E57" s="23"/>
      <x:c r="F57" s="23"/>
      <x:c r="G57" s="23"/>
      <x:c r="H57" s="23"/>
    </x:row>
    <x:row r="58" ht="21" customHeight="1">
      <x:c r="A58" s="23"/>
      <x:c r="B58" s="23"/>
      <x:c r="C58" s="23"/>
      <x:c r="D58" s="23"/>
      <x:c r="E58" s="23"/>
      <x:c r="F58" s="23"/>
      <x:c r="G58" s="23"/>
      <x:c r="H58" s="23"/>
    </x:row>
    <x:row r="59" ht="21" customHeight="1">
      <x:c r="A59" s="23"/>
      <x:c r="B59" s="23"/>
      <x:c r="C59" s="23"/>
      <x:c r="D59" s="23"/>
      <x:c r="E59" s="23"/>
      <x:c r="F59" s="23"/>
      <x:c r="G59" s="23"/>
      <x:c r="H59" s="23"/>
    </x:row>
    <x:row r="60" ht="21" customHeight="1">
      <x:c r="A60" s="23"/>
      <x:c r="B60" s="23"/>
      <x:c r="C60" s="23"/>
      <x:c r="D60" s="23"/>
      <x:c r="E60" s="23"/>
      <x:c r="F60" s="23"/>
      <x:c r="G60" s="23"/>
      <x:c r="H60" s="23"/>
    </x:row>
    <x:row r="61" ht="21" customHeight="1">
      <x:c r="A61" s="23"/>
      <x:c r="B61" s="23"/>
      <x:c r="C61" s="23"/>
      <x:c r="D61" s="23"/>
      <x:c r="E61" s="23"/>
      <x:c r="F61" s="23"/>
      <x:c r="G61" s="23"/>
      <x:c r="H61" s="23"/>
    </x:row>
    <x:row r="62" ht="21" customHeight="1">
      <x:c r="A62" s="23"/>
      <x:c r="B62" s="23"/>
      <x:c r="C62" s="23"/>
      <x:c r="D62" s="23"/>
      <x:c r="E62" s="23"/>
      <x:c r="F62" s="23"/>
      <x:c r="G62" s="23"/>
      <x:c r="H62" s="23"/>
    </x:row>
    <x:row r="63" ht="21" customHeight="1">
      <x:c r="A63" s="23"/>
      <x:c r="B63" s="23"/>
      <x:c r="C63" s="23"/>
      <x:c r="D63" s="23"/>
      <x:c r="E63" s="23"/>
      <x:c r="F63" s="23"/>
      <x:c r="G63" s="23"/>
      <x:c r="H63" s="23"/>
    </x:row>
    <x:row r="64" ht="21" customHeight="1">
      <x:c r="A64" s="23"/>
      <x:c r="B64" s="23"/>
      <x:c r="C64" s="23"/>
      <x:c r="D64" s="23"/>
      <x:c r="E64" s="23"/>
      <x:c r="F64" s="23"/>
      <x:c r="G64" s="23"/>
      <x:c r="H64" s="23"/>
    </x:row>
    <x:row r="65" ht="21" customHeight="1">
      <x:c r="A65" s="23"/>
      <x:c r="B65" s="23"/>
      <x:c r="C65" s="23"/>
      <x:c r="D65" s="23"/>
      <x:c r="E65" s="23"/>
      <x:c r="F65" s="23"/>
      <x:c r="G65" s="23"/>
      <x:c r="H65" s="23"/>
    </x:row>
    <x:row r="66" ht="21" customHeight="1">
      <x:c r="A66" s="23"/>
      <x:c r="B66" s="23"/>
      <x:c r="C66" s="23"/>
      <x:c r="D66" s="23"/>
      <x:c r="E66" s="23"/>
      <x:c r="F66" s="23"/>
      <x:c r="G66" s="23"/>
      <x:c r="H66" s="2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Pr>
    <x:tabColor rgb="FF2F6784"/>
  </x:sheetPr>
  <x:sheetViews>
    <x:sheetView showGridLines="0" workbookViewId="0">
      <x:pane ySplit="13" topLeftCell="A14" activePane="bottomLeft" state="frozen"/>
    </x:sheetView>
  </x:sheetViews>
  <x:sheetFormatPr defaultRowHeight="15"/>
  <x:cols>
    <x:col min="1" max="1" width="49" hidden="0" customWidth="1"/>
    <x:col min="2" max="2" width="17" hidden="0" customWidth="1"/>
    <x:col min="3" max="3" width="20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 ht="21" customHeight="1">
      <x:c r="A1" s="23"/>
      <x:c r="B1" s="23"/>
      <x:c r="C1" s="23"/>
      <x:c r="D1" s="23"/>
      <x:c r="E1" s="23"/>
      <x:c r="F1" s="23"/>
      <x:c r="G1" s="23"/>
      <x:c r="H1" s="23"/>
    </x:row>
    <x:row r="2" ht="30" customHeight="1">
      <x:c r="A2" s="35" t="str">
        <x:v>Tazdan financial assumptions</x:v>
      </x:c>
      <x:c r="B2" s="23"/>
      <x:c r="C2" s="23"/>
      <x:c r="D2" s="23"/>
      <x:c r="E2" s="23"/>
      <x:c r="F2" s="23"/>
      <x:c r="G2" s="23"/>
      <x:c r="H2" s="23"/>
    </x:row>
    <x:row r="3" ht="21" customHeight="1">
      <x:c r="A3" s="23" t="str">
        <x:v>Case number (1 Conservative, 2 Base, 3 Upside)</x:v>
      </x:c>
      <x:c r="B3" s="41" t="n">
        <x:v>2</x:v>
      </x:c>
      <x:c r="C3" s="23"/>
      <x:c r="D3" s="23" t="str">
        <x:f>CHOOSE(B3,"Conservative","Base","Upside")</x:f>
        <x:v>Base</x:v>
      </x:c>
      <x:c r="E3" s="23"/>
      <x:c r="F3" s="23"/>
      <x:c r="G3" s="23"/>
      <x:c r="H3" s="23"/>
    </x:row>
    <x:row r="4" ht="21" customHeight="1">
      <x:c r="A4" s="23" t="str">
        <x:v>Revenue allowance for D&amp;A, finance and other costs</x:v>
      </x:c>
      <x:c r="B4" s="40" t="n">
        <x:v>0.06</x:v>
      </x:c>
      <x:c r="C4" s="23"/>
      <x:c r="D4" s="23"/>
      <x:c r="E4" s="23"/>
      <x:c r="F4" s="23"/>
      <x:c r="G4" s="23"/>
      <x:c r="H4" s="23"/>
    </x:row>
    <x:row r="5" ht="21" customHeight="1">
      <x:c r="A5" s="23" t="str">
        <x:v>Illustrative tax on positive earnings</x:v>
      </x:c>
      <x:c r="B5" s="40" t="n">
        <x:v>0.2</x:v>
      </x:c>
      <x:c r="C5" s="23"/>
      <x:c r="D5" s="23"/>
      <x:c r="E5" s="23"/>
      <x:c r="F5" s="23"/>
      <x:c r="G5" s="23"/>
      <x:c r="H5" s="23"/>
    </x:row>
    <x:row r="6" ht="21" customHeight="1">
      <x:c r="A6" s="23" t="str">
        <x:v>Liquidity reserve as share of monthly remittance volume</x:v>
      </x:c>
      <x:c r="B6" s="40" t="n">
        <x:v>0.2</x:v>
      </x:c>
      <x:c r="C6" s="23"/>
      <x:c r="D6" s="23"/>
      <x:c r="E6" s="23"/>
      <x:c r="F6" s="23"/>
      <x:c r="G6" s="23"/>
      <x:c r="H6" s="23"/>
    </x:row>
    <x:row r="7" ht="21" customHeight="1">
      <x:c r="A7" s="23" t="str">
        <x:v>Operating buffer as share of annual operating expense</x:v>
      </x:c>
      <x:c r="B7" s="40" t="n">
        <x:v>0.25</x:v>
      </x:c>
      <x:c r="C7" s="23"/>
      <x:c r="D7" s="23"/>
      <x:c r="E7" s="23"/>
      <x:c r="F7" s="23"/>
      <x:c r="G7" s="23"/>
      <x:c r="H7" s="23"/>
    </x:row>
    <x:row r="8" ht="21" customHeight="1">
      <x:c r="A8" s="23" t="str">
        <x:v>Technology share of operating expense</x:v>
      </x:c>
      <x:c r="B8" s="40" t="n">
        <x:v>0.18</x:v>
      </x:c>
      <x:c r="C8" s="23"/>
      <x:c r="D8" s="23"/>
      <x:c r="E8" s="23"/>
      <x:c r="F8" s="23"/>
      <x:c r="G8" s="23"/>
      <x:c r="H8" s="23"/>
    </x:row>
    <x:row r="9" ht="21" customHeight="1">
      <x:c r="A9" s="23" t="str">
        <x:v>Compliance share of operating expense</x:v>
      </x:c>
      <x:c r="B9" s="40" t="n">
        <x:v>0.16</x:v>
      </x:c>
      <x:c r="C9" s="23"/>
      <x:c r="D9" s="23"/>
      <x:c r="E9" s="23"/>
      <x:c r="F9" s="23"/>
      <x:c r="G9" s="23"/>
      <x:c r="H9" s="23"/>
    </x:row>
    <x:row r="10" ht="21" customHeight="1">
      <x:c r="A10" s="23" t="str">
        <x:v>Marketing share of operating expense</x:v>
      </x:c>
      <x:c r="B10" s="40" t="n">
        <x:v>0.2</x:v>
      </x:c>
      <x:c r="C10" s="23"/>
      <x:c r="D10" s="23"/>
      <x:c r="E10" s="23"/>
      <x:c r="F10" s="23"/>
      <x:c r="G10" s="23"/>
      <x:c r="H10" s="23"/>
    </x:row>
    <x:row r="11" ht="21" customHeight="1">
      <x:c r="A11" s="23"/>
      <x:c r="B11" s="23"/>
      <x:c r="C11" s="23"/>
      <x:c r="D11" s="23"/>
      <x:c r="E11" s="23"/>
      <x:c r="F11" s="23"/>
      <x:c r="G11" s="23"/>
      <x:c r="H11" s="23"/>
    </x:row>
    <x:row r="12" ht="21" customHeight="1">
      <x:c r="A12" s="23" t="str">
        <x:v>Scenario drivers by milestone year</x:v>
      </x:c>
      <x:c r="B12" s="23"/>
      <x:c r="C12" s="23"/>
      <x:c r="D12" s="23"/>
      <x:c r="E12" s="23"/>
      <x:c r="F12" s="23"/>
      <x:c r="G12" s="23"/>
      <x:c r="H12" s="23"/>
    </x:row>
    <x:row r="13" ht="21" customHeight="1">
      <x:c r="A13" s="23"/>
      <x:c r="B13" s="23"/>
      <x:c r="C13" s="37" t="str">
        <x:v>Case</x:v>
      </x:c>
      <x:c r="D13" s="37" t="str">
        <x:v>Y1</x:v>
      </x:c>
      <x:c r="E13" s="37" t="str">
        <x:v>Y3</x:v>
      </x:c>
      <x:c r="F13" s="37" t="str">
        <x:v>Y5</x:v>
      </x:c>
      <x:c r="G13" s="37" t="str">
        <x:v>Y10</x:v>
      </x:c>
      <x:c r="H13" s="23"/>
    </x:row>
    <x:row r="14" ht="21" customHeight="1">
      <x:c r="A14" s="23" t="str">
        <x:v>Registered users</x:v>
      </x:c>
      <x:c r="B14" s="23"/>
      <x:c r="C14" s="24" t="str">
        <x:v>Active</x:v>
      </x:c>
      <x:c r="D14" s="25" t="n">
        <x:f>CHOOSE($B$3,D15,D16,D17)</x:f>
        <x:v>30000</x:v>
      </x:c>
      <x:c r="E14" s="25" t="n">
        <x:f>CHOOSE($B$3,E15,E16,E17)</x:f>
        <x:v>180000</x:v>
      </x:c>
      <x:c r="F14" s="25" t="n">
        <x:f>CHOOSE($B$3,F15,F16,F17)</x:f>
        <x:v>500000</x:v>
      </x:c>
      <x:c r="G14" s="25" t="n">
        <x:f>CHOOSE($B$3,G15,G16,G17)</x:f>
        <x:v>1500000</x:v>
      </x:c>
      <x:c r="H14" s="23"/>
    </x:row>
    <x:row r="15" ht="21" customHeight="1">
      <x:c r="A15" s="23"/>
      <x:c r="B15" s="23"/>
      <x:c r="C15" s="23" t="str">
        <x:v>Conservative</x:v>
      </x:c>
      <x:c r="D15" s="26" t="n">
        <x:v>15000</x:v>
      </x:c>
      <x:c r="E15" s="26" t="n">
        <x:v>70000</x:v>
      </x:c>
      <x:c r="F15" s="26" t="n">
        <x:v>150000</x:v>
      </x:c>
      <x:c r="G15" s="26" t="n">
        <x:v>500000</x:v>
      </x:c>
      <x:c r="H15" s="23"/>
    </x:row>
    <x:row r="16" ht="21" customHeight="1">
      <x:c r="A16" s="23"/>
      <x:c r="B16" s="23"/>
      <x:c r="C16" s="23" t="str">
        <x:v>Base</x:v>
      </x:c>
      <x:c r="D16" s="26" t="n">
        <x:v>30000</x:v>
      </x:c>
      <x:c r="E16" s="26" t="n">
        <x:v>180000</x:v>
      </x:c>
      <x:c r="F16" s="26" t="n">
        <x:v>500000</x:v>
      </x:c>
      <x:c r="G16" s="26" t="n">
        <x:v>1500000</x:v>
      </x:c>
      <x:c r="H16" s="23"/>
    </x:row>
    <x:row r="17" ht="21" customHeight="1">
      <x:c r="A17" s="23"/>
      <x:c r="B17" s="23"/>
      <x:c r="C17" s="23" t="str">
        <x:v>Upside</x:v>
      </x:c>
      <x:c r="D17" s="26" t="n">
        <x:v>50000</x:v>
      </x:c>
      <x:c r="E17" s="26" t="n">
        <x:v>300000</x:v>
      </x:c>
      <x:c r="F17" s="26" t="n">
        <x:v>900000</x:v>
      </x:c>
      <x:c r="G17" s="26" t="n">
        <x:v>2800000</x:v>
      </x:c>
      <x:c r="H17" s="23"/>
    </x:row>
    <x:row r="18" ht="21" customHeight="1">
      <x:c r="A18" s="23"/>
      <x:c r="B18" s="23"/>
      <x:c r="C18" s="23"/>
      <x:c r="D18" s="23"/>
      <x:c r="E18" s="23"/>
      <x:c r="F18" s="23"/>
      <x:c r="G18" s="23"/>
      <x:c r="H18" s="23"/>
    </x:row>
    <x:row r="19" ht="21" customHeight="1">
      <x:c r="A19" s="23" t="str">
        <x:v>Monthly active users</x:v>
      </x:c>
      <x:c r="B19" s="23"/>
      <x:c r="C19" s="24" t="str">
        <x:v>Active</x:v>
      </x:c>
      <x:c r="D19" s="25" t="n">
        <x:f>CHOOSE($B$3,D20,D21,D22)</x:f>
        <x:v>6000</x:v>
      </x:c>
      <x:c r="E19" s="25" t="n">
        <x:f>CHOOSE($B$3,E20,E21,E22)</x:f>
        <x:v>55000</x:v>
      </x:c>
      <x:c r="F19" s="25" t="n">
        <x:f>CHOOSE($B$3,F20,F21,F22)</x:f>
        <x:v>170000</x:v>
      </x:c>
      <x:c r="G19" s="25" t="n">
        <x:f>CHOOSE($B$3,G20,G21,G22)</x:f>
        <x:v>650000</x:v>
      </x:c>
      <x:c r="H19" s="23"/>
    </x:row>
    <x:row r="20" ht="21" customHeight="1">
      <x:c r="A20" s="23"/>
      <x:c r="B20" s="23"/>
      <x:c r="C20" s="23" t="str">
        <x:v>Conservative</x:v>
      </x:c>
      <x:c r="D20" s="26" t="n">
        <x:v>3000</x:v>
      </x:c>
      <x:c r="E20" s="26" t="n">
        <x:v>20000</x:v>
      </x:c>
      <x:c r="F20" s="26" t="n">
        <x:v>55000</x:v>
      </x:c>
      <x:c r="G20" s="26" t="n">
        <x:v>180000</x:v>
      </x:c>
      <x:c r="H20" s="23"/>
    </x:row>
    <x:row r="21" ht="21" customHeight="1">
      <x:c r="A21" s="23"/>
      <x:c r="B21" s="23"/>
      <x:c r="C21" s="23" t="str">
        <x:v>Base</x:v>
      </x:c>
      <x:c r="D21" s="26" t="n">
        <x:v>6000</x:v>
      </x:c>
      <x:c r="E21" s="26" t="n">
        <x:v>55000</x:v>
      </x:c>
      <x:c r="F21" s="26" t="n">
        <x:v>170000</x:v>
      </x:c>
      <x:c r="G21" s="26" t="n">
        <x:v>650000</x:v>
      </x:c>
      <x:c r="H21" s="23"/>
    </x:row>
    <x:row r="22" ht="21" customHeight="1">
      <x:c r="A22" s="23"/>
      <x:c r="B22" s="23"/>
      <x:c r="C22" s="23" t="str">
        <x:v>Upside</x:v>
      </x:c>
      <x:c r="D22" s="26" t="n">
        <x:v>11000</x:v>
      </x:c>
      <x:c r="E22" s="26" t="n">
        <x:v>110000</x:v>
      </x:c>
      <x:c r="F22" s="26" t="n">
        <x:v>350000</x:v>
      </x:c>
      <x:c r="G22" s="26" t="n">
        <x:v>1150000</x:v>
      </x:c>
      <x:c r="H22" s="23"/>
    </x:row>
    <x:row r="23" ht="21" customHeight="1">
      <x:c r="A23" s="23"/>
      <x:c r="B23" s="23"/>
      <x:c r="C23" s="23"/>
      <x:c r="D23" s="23"/>
      <x:c r="E23" s="23"/>
      <x:c r="F23" s="23"/>
      <x:c r="G23" s="23"/>
      <x:c r="H23" s="23"/>
    </x:row>
    <x:row r="24" ht="21" customHeight="1">
      <x:c r="A24" s="23" t="str">
        <x:v>Active businesses</x:v>
      </x:c>
      <x:c r="B24" s="23"/>
      <x:c r="C24" s="24" t="str">
        <x:v>Active</x:v>
      </x:c>
      <x:c r="D24" s="25" t="n">
        <x:f>CHOOSE($B$3,D25,D26,D27)</x:f>
        <x:v>50</x:v>
      </x:c>
      <x:c r="E24" s="25" t="n">
        <x:f>CHOOSE($B$3,E25,E26,E27)</x:f>
        <x:v>500</x:v>
      </x:c>
      <x:c r="F24" s="25" t="n">
        <x:f>CHOOSE($B$3,F25,F26,F27)</x:f>
        <x:v>2000</x:v>
      </x:c>
      <x:c r="G24" s="25" t="n">
        <x:f>CHOOSE($B$3,G25,G26,G27)</x:f>
        <x:v>9000</x:v>
      </x:c>
      <x:c r="H24" s="23"/>
    </x:row>
    <x:row r="25" ht="21" customHeight="1">
      <x:c r="A25" s="23"/>
      <x:c r="B25" s="23"/>
      <x:c r="C25" s="23" t="str">
        <x:v>Conservative</x:v>
      </x:c>
      <x:c r="D25" s="26" t="n">
        <x:v>20</x:v>
      </x:c>
      <x:c r="E25" s="26" t="n">
        <x:v>150</x:v>
      </x:c>
      <x:c r="F25" s="26" t="n">
        <x:v>450</x:v>
      </x:c>
      <x:c r="G25" s="26" t="n">
        <x:v>1800</x:v>
      </x:c>
      <x:c r="H25" s="23"/>
    </x:row>
    <x:row r="26" ht="21" customHeight="1">
      <x:c r="A26" s="23"/>
      <x:c r="B26" s="23"/>
      <x:c r="C26" s="23" t="str">
        <x:v>Base</x:v>
      </x:c>
      <x:c r="D26" s="26" t="n">
        <x:v>50</x:v>
      </x:c>
      <x:c r="E26" s="26" t="n">
        <x:v>500</x:v>
      </x:c>
      <x:c r="F26" s="26" t="n">
        <x:v>2000</x:v>
      </x:c>
      <x:c r="G26" s="26" t="n">
        <x:v>9000</x:v>
      </x:c>
      <x:c r="H26" s="23"/>
    </x:row>
    <x:row r="27" ht="21" customHeight="1">
      <x:c r="A27" s="23"/>
      <x:c r="B27" s="23"/>
      <x:c r="C27" s="23" t="str">
        <x:v>Upside</x:v>
      </x:c>
      <x:c r="D27" s="26" t="n">
        <x:v>100</x:v>
      </x:c>
      <x:c r="E27" s="26" t="n">
        <x:v>1200</x:v>
      </x:c>
      <x:c r="F27" s="26" t="n">
        <x:v>5000</x:v>
      </x:c>
      <x:c r="G27" s="26" t="n">
        <x:v>20000</x:v>
      </x:c>
      <x:c r="H27" s="23"/>
    </x:row>
    <x:row r="28" ht="21" customHeight="1">
      <x:c r="A28" s="23"/>
      <x:c r="B28" s="23"/>
      <x:c r="C28" s="23"/>
      <x:c r="D28" s="23"/>
      <x:c r="E28" s="23"/>
      <x:c r="F28" s="23"/>
      <x:c r="G28" s="23"/>
      <x:c r="H28" s="23"/>
    </x:row>
    <x:row r="29" ht="21" customHeight="1">
      <x:c r="A29" s="23" t="str">
        <x:v>Transactions per MAU per month</x:v>
      </x:c>
      <x:c r="B29" s="23"/>
      <x:c r="C29" s="24" t="str">
        <x:v>Active</x:v>
      </x:c>
      <x:c r="D29" s="27" t="n">
        <x:f>CHOOSE($B$3,D30,D31,D32)</x:f>
        <x:v>2.5</x:v>
      </x:c>
      <x:c r="E29" s="27" t="n">
        <x:f>CHOOSE($B$3,E30,E31,E32)</x:f>
        <x:v>3</x:v>
      </x:c>
      <x:c r="F29" s="27" t="n">
        <x:f>CHOOSE($B$3,F30,F31,F32)</x:f>
        <x:v>3.5</x:v>
      </x:c>
      <x:c r="G29" s="27" t="n">
        <x:f>CHOOSE($B$3,G30,G31,G32)</x:f>
        <x:v>4</x:v>
      </x:c>
      <x:c r="H29" s="23"/>
    </x:row>
    <x:row r="30" ht="21" customHeight="1">
      <x:c r="A30" s="23"/>
      <x:c r="B30" s="23"/>
      <x:c r="C30" s="23" t="str">
        <x:v>Conservative</x:v>
      </x:c>
      <x:c r="D30" s="28" t="n">
        <x:v>2</x:v>
      </x:c>
      <x:c r="E30" s="28" t="n">
        <x:v>2.5</x:v>
      </x:c>
      <x:c r="F30" s="28" t="n">
        <x:v>3</x:v>
      </x:c>
      <x:c r="G30" s="28" t="n">
        <x:v>3.5</x:v>
      </x:c>
      <x:c r="H30" s="23"/>
    </x:row>
    <x:row r="31" ht="21" customHeight="1">
      <x:c r="A31" s="23"/>
      <x:c r="B31" s="23"/>
      <x:c r="C31" s="23" t="str">
        <x:v>Base</x:v>
      </x:c>
      <x:c r="D31" s="28" t="n">
        <x:v>2.5</x:v>
      </x:c>
      <x:c r="E31" s="28" t="n">
        <x:v>3</x:v>
      </x:c>
      <x:c r="F31" s="28" t="n">
        <x:v>3.5</x:v>
      </x:c>
      <x:c r="G31" s="28" t="n">
        <x:v>4</x:v>
      </x:c>
      <x:c r="H31" s="23"/>
    </x:row>
    <x:row r="32" ht="21" customHeight="1">
      <x:c r="A32" s="23"/>
      <x:c r="B32" s="23"/>
      <x:c r="C32" s="23" t="str">
        <x:v>Upside</x:v>
      </x:c>
      <x:c r="D32" s="28" t="n">
        <x:v>2.8</x:v>
      </x:c>
      <x:c r="E32" s="28" t="n">
        <x:v>3.5</x:v>
      </x:c>
      <x:c r="F32" s="28" t="n">
        <x:v>4</x:v>
      </x:c>
      <x:c r="G32" s="28" t="n">
        <x:v>4.6</x:v>
      </x:c>
      <x:c r="H32" s="23"/>
    </x:row>
    <x:row r="33" ht="21" customHeight="1">
      <x:c r="A33" s="23"/>
      <x:c r="B33" s="23"/>
      <x:c r="C33" s="23"/>
      <x:c r="D33" s="23"/>
      <x:c r="E33" s="23"/>
      <x:c r="F33" s="23"/>
      <x:c r="G33" s="23"/>
      <x:c r="H33" s="23"/>
    </x:row>
    <x:row r="34" ht="21" customHeight="1">
      <x:c r="A34" s="23" t="str">
        <x:v>Average ticket (USD)</x:v>
      </x:c>
      <x:c r="B34" s="23"/>
      <x:c r="C34" s="24" t="str">
        <x:v>Active</x:v>
      </x:c>
      <x:c r="D34" s="29" t="n">
        <x:f>CHOOSE($B$3,D35,D36,D37)</x:f>
        <x:v>150</x:v>
      </x:c>
      <x:c r="E34" s="29" t="n">
        <x:f>CHOOSE($B$3,E35,E36,E37)</x:f>
        <x:v>180</x:v>
      </x:c>
      <x:c r="F34" s="29" t="n">
        <x:f>CHOOSE($B$3,F35,F36,F37)</x:f>
        <x:v>220</x:v>
      </x:c>
      <x:c r="G34" s="29" t="n">
        <x:f>CHOOSE($B$3,G35,G36,G37)</x:f>
        <x:v>260</x:v>
      </x:c>
      <x:c r="H34" s="23"/>
    </x:row>
    <x:row r="35" ht="21" customHeight="1">
      <x:c r="A35" s="23"/>
      <x:c r="B35" s="23"/>
      <x:c r="C35" s="23" t="str">
        <x:v>Conservative</x:v>
      </x:c>
      <x:c r="D35" s="30" t="n">
        <x:v>120</x:v>
      </x:c>
      <x:c r="E35" s="30" t="n">
        <x:v>140</x:v>
      </x:c>
      <x:c r="F35" s="30" t="n">
        <x:v>160</x:v>
      </x:c>
      <x:c r="G35" s="30" t="n">
        <x:v>210</x:v>
      </x:c>
      <x:c r="H35" s="23"/>
    </x:row>
    <x:row r="36" ht="21" customHeight="1">
      <x:c r="A36" s="23"/>
      <x:c r="B36" s="23"/>
      <x:c r="C36" s="23" t="str">
        <x:v>Base</x:v>
      </x:c>
      <x:c r="D36" s="30" t="n">
        <x:v>150</x:v>
      </x:c>
      <x:c r="E36" s="30" t="n">
        <x:v>180</x:v>
      </x:c>
      <x:c r="F36" s="30" t="n">
        <x:v>220</x:v>
      </x:c>
      <x:c r="G36" s="30" t="n">
        <x:v>260</x:v>
      </x:c>
      <x:c r="H36" s="23"/>
    </x:row>
    <x:row r="37" ht="21" customHeight="1">
      <x:c r="A37" s="23"/>
      <x:c r="B37" s="23"/>
      <x:c r="C37" s="23" t="str">
        <x:v>Upside</x:v>
      </x:c>
      <x:c r="D37" s="30" t="n">
        <x:v>160</x:v>
      </x:c>
      <x:c r="E37" s="30" t="n">
        <x:v>200</x:v>
      </x:c>
      <x:c r="F37" s="30" t="n">
        <x:v>240</x:v>
      </x:c>
      <x:c r="G37" s="30" t="n">
        <x:v>290</x:v>
      </x:c>
      <x:c r="H37" s="23"/>
    </x:row>
    <x:row r="38" ht="21" customHeight="1">
      <x:c r="A38" s="23"/>
      <x:c r="B38" s="23"/>
      <x:c r="C38" s="23"/>
      <x:c r="D38" s="23"/>
      <x:c r="E38" s="23"/>
      <x:c r="F38" s="23"/>
      <x:c r="G38" s="23"/>
      <x:c r="H38" s="23"/>
    </x:row>
    <x:row r="39" ht="21" customHeight="1">
      <x:c r="A39" s="23" t="str">
        <x:v>Blended take rate</x:v>
      </x:c>
      <x:c r="B39" s="23"/>
      <x:c r="C39" s="24" t="str">
        <x:v>Active</x:v>
      </x:c>
      <x:c r="D39" s="31" t="n">
        <x:f>CHOOSE($B$3,D40,D41,D42)</x:f>
        <x:v>0.015</x:v>
      </x:c>
      <x:c r="E39" s="31" t="n">
        <x:f>CHOOSE($B$3,E40,E41,E42)</x:f>
        <x:v>0.013</x:v>
      </x:c>
      <x:c r="F39" s="31" t="n">
        <x:f>CHOOSE($B$3,F40,F41,F42)</x:f>
        <x:v>0.011</x:v>
      </x:c>
      <x:c r="G39" s="31" t="n">
        <x:f>CHOOSE($B$3,G40,G41,G42)</x:f>
        <x:v>0.01</x:v>
      </x:c>
      <x:c r="H39" s="23"/>
    </x:row>
    <x:row r="40" ht="21" customHeight="1">
      <x:c r="A40" s="23"/>
      <x:c r="B40" s="23"/>
      <x:c r="C40" s="23" t="str">
        <x:v>Conservative</x:v>
      </x:c>
      <x:c r="D40" s="32" t="n">
        <x:v>0.014</x:v>
      </x:c>
      <x:c r="E40" s="32" t="n">
        <x:v>0.013</x:v>
      </x:c>
      <x:c r="F40" s="32" t="n">
        <x:v>0.012</x:v>
      </x:c>
      <x:c r="G40" s="32" t="n">
        <x:v>0.01</x:v>
      </x:c>
      <x:c r="H40" s="23"/>
    </x:row>
    <x:row r="41" ht="21" customHeight="1">
      <x:c r="A41" s="23"/>
      <x:c r="B41" s="23"/>
      <x:c r="C41" s="23" t="str">
        <x:v>Base</x:v>
      </x:c>
      <x:c r="D41" s="32" t="n">
        <x:v>0.015</x:v>
      </x:c>
      <x:c r="E41" s="32" t="n">
        <x:v>0.013</x:v>
      </x:c>
      <x:c r="F41" s="32" t="n">
        <x:v>0.011</x:v>
      </x:c>
      <x:c r="G41" s="32" t="n">
        <x:v>0.01</x:v>
      </x:c>
      <x:c r="H41" s="23"/>
    </x:row>
    <x:row r="42" ht="21" customHeight="1">
      <x:c r="A42" s="23"/>
      <x:c r="B42" s="23"/>
      <x:c r="C42" s="23" t="str">
        <x:v>Upside</x:v>
      </x:c>
      <x:c r="D42" s="32" t="n">
        <x:v>0.016</x:v>
      </x:c>
      <x:c r="E42" s="32" t="n">
        <x:v>0.014</x:v>
      </x:c>
      <x:c r="F42" s="32" t="n">
        <x:v>0.012</x:v>
      </x:c>
      <x:c r="G42" s="32" t="n">
        <x:v>0.01</x:v>
      </x:c>
      <x:c r="H42" s="23"/>
    </x:row>
    <x:row r="43" ht="21" customHeight="1">
      <x:c r="A43" s="23"/>
      <x:c r="B43" s="23"/>
      <x:c r="C43" s="23"/>
      <x:c r="D43" s="23"/>
      <x:c r="E43" s="23"/>
      <x:c r="F43" s="23"/>
      <x:c r="G43" s="23"/>
      <x:c r="H43" s="23"/>
    </x:row>
    <x:row r="44" ht="21" customHeight="1">
      <x:c r="A44" s="23" t="str">
        <x:v>Gross margin</x:v>
      </x:c>
      <x:c r="B44" s="23"/>
      <x:c r="C44" s="24" t="str">
        <x:v>Active</x:v>
      </x:c>
      <x:c r="D44" s="31" t="n">
        <x:f>CHOOSE($B$3,D45,D46,D47)</x:f>
        <x:v>0.45</x:v>
      </x:c>
      <x:c r="E44" s="31" t="n">
        <x:f>CHOOSE($B$3,E45,E46,E47)</x:f>
        <x:v>0.5</x:v>
      </x:c>
      <x:c r="F44" s="31" t="n">
        <x:f>CHOOSE($B$3,F45,F46,F47)</x:f>
        <x:v>0.55</x:v>
      </x:c>
      <x:c r="G44" s="31" t="n">
        <x:f>CHOOSE($B$3,G45,G46,G47)</x:f>
        <x:v>0.64</x:v>
      </x:c>
      <x:c r="H44" s="23"/>
    </x:row>
    <x:row r="45" ht="21" customHeight="1">
      <x:c r="A45" s="23"/>
      <x:c r="B45" s="23"/>
      <x:c r="C45" s="23" t="str">
        <x:v>Conservative</x:v>
      </x:c>
      <x:c r="D45" s="32" t="n">
        <x:v>0.35</x:v>
      </x:c>
      <x:c r="E45" s="32" t="n">
        <x:v>0.4</x:v>
      </x:c>
      <x:c r="F45" s="32" t="n">
        <x:v>0.5</x:v>
      </x:c>
      <x:c r="G45" s="32" t="n">
        <x:v>0.55</x:v>
      </x:c>
      <x:c r="H45" s="23"/>
    </x:row>
    <x:row r="46" ht="21" customHeight="1">
      <x:c r="A46" s="23"/>
      <x:c r="B46" s="23"/>
      <x:c r="C46" s="23" t="str">
        <x:v>Base</x:v>
      </x:c>
      <x:c r="D46" s="32" t="n">
        <x:v>0.45</x:v>
      </x:c>
      <x:c r="E46" s="32" t="n">
        <x:v>0.5</x:v>
      </x:c>
      <x:c r="F46" s="32" t="n">
        <x:v>0.55</x:v>
      </x:c>
      <x:c r="G46" s="32" t="n">
        <x:v>0.64</x:v>
      </x:c>
      <x:c r="H46" s="23"/>
    </x:row>
    <x:row r="47" ht="21" customHeight="1">
      <x:c r="A47" s="23"/>
      <x:c r="B47" s="23"/>
      <x:c r="C47" s="23" t="str">
        <x:v>Upside</x:v>
      </x:c>
      <x:c r="D47" s="32" t="n">
        <x:v>0.45</x:v>
      </x:c>
      <x:c r="E47" s="32" t="n">
        <x:v>0.54</x:v>
      </x:c>
      <x:c r="F47" s="32" t="n">
        <x:v>0.6</x:v>
      </x:c>
      <x:c r="G47" s="32" t="n">
        <x:v>0.68</x:v>
      </x:c>
      <x:c r="H47" s="23"/>
    </x:row>
    <x:row r="48" ht="21" customHeight="1">
      <x:c r="A48" s="23"/>
      <x:c r="B48" s="23"/>
      <x:c r="C48" s="23"/>
      <x:c r="D48" s="23"/>
      <x:c r="E48" s="23"/>
      <x:c r="F48" s="23"/>
      <x:c r="G48" s="23"/>
      <x:c r="H48" s="23"/>
    </x:row>
    <x:row r="49" ht="21" customHeight="1">
      <x:c r="A49" s="23" t="str">
        <x:v>Operating expense (USD m)</x:v>
      </x:c>
      <x:c r="B49" s="23"/>
      <x:c r="C49" s="24" t="str">
        <x:v>Active</x:v>
      </x:c>
      <x:c r="D49" s="33" t="n">
        <x:f>CHOOSE($B$3,D50,D51,D52)</x:f>
        <x:v>1.5</x:v>
      </x:c>
      <x:c r="E49" s="33" t="n">
        <x:f>CHOOSE($B$3,E50,E51,E52)</x:f>
        <x:v>4</x:v>
      </x:c>
      <x:c r="F49" s="33" t="n">
        <x:f>CHOOSE($B$3,F50,F51,F52)</x:f>
        <x:v>10</x:v>
      </x:c>
      <x:c r="G49" s="33" t="n">
        <x:f>CHOOSE($B$3,G50,G51,G52)</x:f>
        <x:v>40</x:v>
      </x:c>
      <x:c r="H49" s="23"/>
    </x:row>
    <x:row r="50" ht="21" customHeight="1">
      <x:c r="A50" s="23"/>
      <x:c r="B50" s="23"/>
      <x:c r="C50" s="23" t="str">
        <x:v>Conservative</x:v>
      </x:c>
      <x:c r="D50" s="34" t="n">
        <x:v>1.2</x:v>
      </x:c>
      <x:c r="E50" s="34" t="n">
        <x:v>2.4</x:v>
      </x:c>
      <x:c r="F50" s="34" t="n">
        <x:v>5</x:v>
      </x:c>
      <x:c r="G50" s="34" t="n">
        <x:v>14</x:v>
      </x:c>
      <x:c r="H50" s="23"/>
    </x:row>
    <x:row r="51" ht="21" customHeight="1">
      <x:c r="A51" s="23"/>
      <x:c r="B51" s="23"/>
      <x:c r="C51" s="23" t="str">
        <x:v>Base</x:v>
      </x:c>
      <x:c r="D51" s="34" t="n">
        <x:v>1.5</x:v>
      </x:c>
      <x:c r="E51" s="34" t="n">
        <x:v>4</x:v>
      </x:c>
      <x:c r="F51" s="34" t="n">
        <x:v>10</x:v>
      </x:c>
      <x:c r="G51" s="34" t="n">
        <x:v>40</x:v>
      </x:c>
      <x:c r="H51" s="23"/>
    </x:row>
    <x:row r="52" ht="21" customHeight="1">
      <x:c r="A52" s="23"/>
      <x:c r="B52" s="23"/>
      <x:c r="C52" s="23" t="str">
        <x:v>Upside</x:v>
      </x:c>
      <x:c r="D52" s="34" t="n">
        <x:v>1.8</x:v>
      </x:c>
      <x:c r="E52" s="34" t="n">
        <x:v>6</x:v>
      </x:c>
      <x:c r="F52" s="34" t="n">
        <x:v>17</x:v>
      </x:c>
      <x:c r="G52" s="34" t="n">
        <x:v>70</x:v>
      </x:c>
      <x:c r="H52" s="23"/>
    </x:row>
    <x:row r="53" ht="21" customHeight="1">
      <x:c r="A53" s="23"/>
      <x:c r="B53" s="23"/>
      <x:c r="C53" s="23"/>
      <x:c r="D53" s="23"/>
      <x:c r="E53" s="23"/>
      <x:c r="F53" s="23"/>
      <x:c r="G53" s="23"/>
      <x:c r="H53" s="23"/>
    </x:row>
    <x:row r="54" ht="21" customHeight="1">
      <x:c r="A54" s="23" t="str">
        <x:v>Staff</x:v>
      </x:c>
      <x:c r="B54" s="23"/>
      <x:c r="C54" s="24" t="str">
        <x:v>Active</x:v>
      </x:c>
      <x:c r="D54" s="25" t="n">
        <x:f>CHOOSE($B$3,D55,D56,D57)</x:f>
        <x:v>22</x:v>
      </x:c>
      <x:c r="E54" s="25" t="n">
        <x:f>CHOOSE($B$3,E55,E56,E57)</x:f>
        <x:v>55</x:v>
      </x:c>
      <x:c r="F54" s="25" t="n">
        <x:f>CHOOSE($B$3,F55,F56,F57)</x:f>
        <x:v>120</x:v>
      </x:c>
      <x:c r="G54" s="25" t="n">
        <x:f>CHOOSE($B$3,G55,G56,G57)</x:f>
        <x:v>400</x:v>
      </x:c>
      <x:c r="H54" s="23"/>
    </x:row>
    <x:row r="55" ht="21" customHeight="1">
      <x:c r="A55" s="23"/>
      <x:c r="B55" s="23"/>
      <x:c r="C55" s="23" t="str">
        <x:v>Conservative</x:v>
      </x:c>
      <x:c r="D55" s="26" t="n">
        <x:v>18</x:v>
      </x:c>
      <x:c r="E55" s="26" t="n">
        <x:v>35</x:v>
      </x:c>
      <x:c r="F55" s="26" t="n">
        <x:v>65</x:v>
      </x:c>
      <x:c r="G55" s="26" t="n">
        <x:v>170</x:v>
      </x:c>
      <x:c r="H55" s="23"/>
    </x:row>
    <x:row r="56" ht="21" customHeight="1">
      <x:c r="A56" s="23"/>
      <x:c r="B56" s="23"/>
      <x:c r="C56" s="23" t="str">
        <x:v>Base</x:v>
      </x:c>
      <x:c r="D56" s="26" t="n">
        <x:v>22</x:v>
      </x:c>
      <x:c r="E56" s="26" t="n">
        <x:v>55</x:v>
      </x:c>
      <x:c r="F56" s="26" t="n">
        <x:v>120</x:v>
      </x:c>
      <x:c r="G56" s="26" t="n">
        <x:v>400</x:v>
      </x:c>
      <x:c r="H56" s="23"/>
    </x:row>
    <x:row r="57" ht="21" customHeight="1">
      <x:c r="A57" s="23"/>
      <x:c r="B57" s="23"/>
      <x:c r="C57" s="23" t="str">
        <x:v>Upside</x:v>
      </x:c>
      <x:c r="D57" s="26" t="n">
        <x:v>28</x:v>
      </x:c>
      <x:c r="E57" s="26" t="n">
        <x:v>80</x:v>
      </x:c>
      <x:c r="F57" s="26" t="n">
        <x:v>190</x:v>
      </x:c>
      <x:c r="G57" s="26" t="n">
        <x:v>700</x:v>
      </x:c>
      <x:c r="H57" s="23"/>
    </x:row>
    <x:row r="58" ht="21" customHeight="1">
      <x:c r="A58" s="23"/>
      <x:c r="B58" s="23"/>
      <x:c r="C58" s="23"/>
      <x:c r="D58" s="23"/>
      <x:c r="E58" s="23"/>
      <x:c r="F58" s="23"/>
      <x:c r="G58" s="23"/>
      <x:c r="H58" s="23"/>
    </x:row>
    <x:row r="59" ht="21" customHeight="1">
      <x:c r="A59" s="23" t="str">
        <x:v>Remittance share of volume</x:v>
      </x:c>
      <x:c r="B59" s="23"/>
      <x:c r="C59" s="24" t="str">
        <x:v>Active</x:v>
      </x:c>
      <x:c r="D59" s="31" t="n">
        <x:f>CHOOSE($B$3,D60,D61,D62)</x:f>
        <x:v>0.16</x:v>
      </x:c>
      <x:c r="E59" s="31" t="n">
        <x:f>CHOOSE($B$3,E60,E61,E62)</x:f>
        <x:v>0.23</x:v>
      </x:c>
      <x:c r="F59" s="31" t="n">
        <x:f>CHOOSE($B$3,F60,F61,F62)</x:f>
        <x:v>0.3</x:v>
      </x:c>
      <x:c r="G59" s="31" t="n">
        <x:f>CHOOSE($B$3,G60,G61,G62)</x:f>
        <x:v>0.36</x:v>
      </x:c>
      <x:c r="H59" s="23"/>
    </x:row>
    <x:row r="60" ht="21" customHeight="1">
      <x:c r="A60" s="23"/>
      <x:c r="B60" s="23"/>
      <x:c r="C60" s="23" t="str">
        <x:v>Conservative</x:v>
      </x:c>
      <x:c r="D60" s="32" t="n">
        <x:v>0.12</x:v>
      </x:c>
      <x:c r="E60" s="32" t="n">
        <x:v>0.18</x:v>
      </x:c>
      <x:c r="F60" s="32" t="n">
        <x:v>0.22</x:v>
      </x:c>
      <x:c r="G60" s="32" t="n">
        <x:v>0.3</x:v>
      </x:c>
      <x:c r="H60" s="23"/>
    </x:row>
    <x:row r="61" ht="21" customHeight="1">
      <x:c r="A61" s="23"/>
      <x:c r="B61" s="23"/>
      <x:c r="C61" s="23" t="str">
        <x:v>Base</x:v>
      </x:c>
      <x:c r="D61" s="32" t="n">
        <x:v>0.16</x:v>
      </x:c>
      <x:c r="E61" s="32" t="n">
        <x:v>0.23</x:v>
      </x:c>
      <x:c r="F61" s="32" t="n">
        <x:v>0.3</x:v>
      </x:c>
      <x:c r="G61" s="32" t="n">
        <x:v>0.36</x:v>
      </x:c>
      <x:c r="H61" s="23"/>
    </x:row>
    <x:row r="62" ht="21" customHeight="1">
      <x:c r="A62" s="23"/>
      <x:c r="B62" s="23"/>
      <x:c r="C62" s="23" t="str">
        <x:v>Upside</x:v>
      </x:c>
      <x:c r="D62" s="32" t="n">
        <x:v>0.18</x:v>
      </x:c>
      <x:c r="E62" s="32" t="n">
        <x:v>0.28</x:v>
      </x:c>
      <x:c r="F62" s="32" t="n">
        <x:v>0.36</x:v>
      </x:c>
      <x:c r="G62" s="32" t="n">
        <x:v>0.42</x:v>
      </x:c>
      <x:c r="H62" s="23"/>
    </x:row>
    <x:row r="63" ht="21" customHeight="1">
      <x:c r="A63" s="23"/>
      <x:c r="B63" s="23"/>
      <x:c r="C63" s="23"/>
      <x:c r="D63" s="23"/>
      <x:c r="E63" s="23"/>
      <x:c r="F63" s="23"/>
      <x:c r="G63" s="23"/>
      <x:c r="H63" s="23"/>
    </x:row>
    <x:row r="64" ht="21" customHeight="1">
      <x:c r="A64" s="23"/>
      <x:c r="B64" s="23"/>
      <x:c r="C64" s="23"/>
      <x:c r="D64" s="23"/>
      <x:c r="E64" s="23"/>
      <x:c r="F64" s="23"/>
      <x:c r="G64" s="23"/>
      <x:c r="H64" s="23"/>
    </x:row>
    <x:row r="65" ht="21" customHeight="1">
      <x:c r="A65" s="49" t="str">
        <x:v>Source: Tazdan Manifesto illustrative financial scenarios, 6 October 2026. No transaction history or partner pricing was verified.</x:v>
      </x:c>
      <x:c r="B65" s="49"/>
      <x:c r="C65" s="49"/>
      <x:c r="D65" s="49"/>
      <x:c r="E65" s="49"/>
      <x:c r="F65" s="49"/>
      <x:c r="G65" s="49"/>
      <x:c r="H65" s="23"/>
    </x:row>
    <x:row r="66" ht="21" customHeight="1">
      <x:c r="A66" s="49" t="str">
        <x:v>Milestone years are separate annual run rates; intermediate years are intentionally not interpolated.</x:v>
      </x:c>
      <x:c r="B66" s="49"/>
      <x:c r="C66" s="49"/>
      <x:c r="D66" s="49"/>
      <x:c r="E66" s="49"/>
      <x:c r="F66" s="49"/>
      <x:c r="G66" s="49"/>
      <x:c r="H66" s="23"/>
    </x:row>
  </x:sheetData>
  <x:dataValidations count="1">
    <x:dataValidation type="list" sqref="B3">
      <x:formula1>"1,2,3"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12304A"/>
  </x:sheetPr>
  <x:sheetViews>
    <x:sheetView showGridLines="0" workbookViewId="0"/>
  </x:sheetViews>
  <x:sheetFormatPr defaultRowHeight="15"/>
  <x:cols>
    <x:col min="1" max="1" width="3" hidden="0" customWidth="1"/>
    <x:col min="2" max="2" width="3" hidden="0" customWidth="1"/>
    <x:col min="3" max="3" width="55" hidden="0" customWidth="1"/>
    <x:col min="4" max="4" width="22" hidden="0" customWidth="1"/>
    <x:col min="5" max="5" width="3" hidden="0" customWidth="1"/>
    <x:col min="6" max="6" width="38" hidden="0" customWidth="1"/>
    <x:col min="7" max="7" width="19" hidden="0" customWidth="1"/>
    <x:col min="8" max="8" width="3" hidden="0" customWidth="1"/>
  </x:cols>
  <x:sheetData>
    <x:row r="1" ht="22" customHeight="1">
      <x:c r="A1" s="23"/>
      <x:c r="B1" s="23"/>
      <x:c r="C1" s="23"/>
      <x:c r="D1" s="23"/>
      <x:c r="E1" s="23"/>
      <x:c r="F1" s="23"/>
      <x:c r="G1" s="23"/>
      <x:c r="H1" s="23"/>
    </x:row>
    <x:row r="2" ht="22" customHeight="1">
      <x:c r="A2" s="23"/>
      <x:c r="B2" s="23"/>
      <x:c r="C2" s="35" t="str">
        <x:v>Path to USD 20-25m enterprise value</x:v>
      </x:c>
      <x:c r="D2" s="23"/>
      <x:c r="E2" s="23"/>
      <x:c r="F2" s="23"/>
      <x:c r="G2" s="23"/>
      <x:c r="H2" s="23"/>
    </x:row>
    <x:row r="3" ht="22" customHeight="1">
      <x:c r="A3" s="23"/>
      <x:c r="B3" s="23"/>
      <x:c r="C3" s="49" t="str">
        <x:v>Illustrative target, 6 October 2026. Separate operating model from the existing forecast.</x:v>
      </x:c>
      <x:c r="D3" s="49"/>
      <x:c r="E3" s="49"/>
      <x:c r="F3" s="49"/>
      <x:c r="G3" s="49"/>
      <x:c r="H3" s="49"/>
    </x:row>
    <x:row r="4" ht="22" customHeight="1">
      <x:c r="A4" s="23"/>
      <x:c r="B4" s="23"/>
      <x:c r="C4" s="23"/>
      <x:c r="D4" s="23"/>
      <x:c r="E4" s="23"/>
      <x:c r="F4" s="23"/>
      <x:c r="G4" s="23"/>
      <x:c r="H4" s="23"/>
    </x:row>
    <x:row r="5" ht="22" customHeight="1">
      <x:c r="A5" s="23"/>
      <x:c r="B5" s="23"/>
      <x:c r="C5" s="64" t="str">
        <x:v>Annual result (USD)</x:v>
      </x:c>
      <x:c r="D5" s="64" t="str">
        <x:v>Value</x:v>
      </x:c>
      <x:c r="E5" s="23"/>
      <x:c r="F5" s="23"/>
      <x:c r="G5" s="23"/>
      <x:c r="H5" s="23"/>
    </x:row>
    <x:row r="6" ht="22" customHeight="1">
      <x:c r="A6" s="23"/>
      <x:c r="B6" s="23"/>
      <x:c r="C6" s="23" t="str">
        <x:v>Revenue</x:v>
      </x:c>
      <x:c r="D6" s="54" t="n">
        <x:f>D38</x:f>
        <x:v>8760000</x:v>
      </x:c>
      <x:c r="E6" s="23"/>
      <x:c r="F6" s="23"/>
      <x:c r="G6" s="23"/>
      <x:c r="H6" s="23"/>
    </x:row>
    <x:row r="7" ht="22" customHeight="1">
      <x:c r="A7" s="23"/>
      <x:c r="B7" s="23"/>
      <x:c r="C7" s="23" t="str">
        <x:v>Contribution after variable costs</x:v>
      </x:c>
      <x:c r="D7" s="54" t="n">
        <x:f>D39</x:f>
        <x:v>5280000</x:v>
      </x:c>
      <x:c r="E7" s="23"/>
      <x:c r="F7" s="23"/>
      <x:c r="G7" s="23"/>
      <x:c r="H7" s="23"/>
    </x:row>
    <x:row r="8" ht="22" customHeight="1">
      <x:c r="A8" s="23"/>
      <x:c r="B8" s="23"/>
      <x:c r="C8" s="23" t="str">
        <x:v>Fixed operating expense</x:v>
      </x:c>
      <x:c r="D8" s="54" t="n">
        <x:f>D25</x:f>
        <x:v>2800000</x:v>
      </x:c>
      <x:c r="E8" s="23"/>
      <x:c r="F8" s="23"/>
      <x:c r="G8" s="23"/>
      <x:c r="H8" s="23"/>
    </x:row>
    <x:row r="9" ht="22" customHeight="1">
      <x:c r="A9" s="23"/>
      <x:c r="B9" s="23"/>
      <x:c r="C9" s="47" t="str">
        <x:v>EBITDA</x:v>
      </x:c>
      <x:c r="D9" s="62" t="n">
        <x:f>D40</x:f>
        <x:v>2480000</x:v>
      </x:c>
      <x:c r="E9" s="23"/>
      <x:c r="F9" s="23"/>
      <x:c r="G9" s="23"/>
      <x:c r="H9" s="23"/>
    </x:row>
    <x:row r="10" ht="22" customHeight="1">
      <x:c r="A10" s="23"/>
      <x:c r="B10" s="23"/>
      <x:c r="C10" s="47" t="str">
        <x:v>Enterprise value, lower multiple</x:v>
      </x:c>
      <x:c r="D10" s="62" t="n">
        <x:f>IF(D40&gt;0,D40*D26,"n.a.")</x:f>
        <x:v>19840000</x:v>
      </x:c>
      <x:c r="E10" s="23"/>
      <x:c r="F10" s="23"/>
      <x:c r="G10" s="23"/>
      <x:c r="H10" s="23"/>
    </x:row>
    <x:row r="11" ht="22" customHeight="1">
      <x:c r="A11" s="23"/>
      <x:c r="B11" s="23"/>
      <x:c r="C11" s="47" t="str">
        <x:v>Enterprise value, upper multiple</x:v>
      </x:c>
      <x:c r="D11" s="62" t="n">
        <x:f>IF(D40&gt;0,D40*D27,"n.a.")</x:f>
        <x:v>24800000</x:v>
      </x:c>
      <x:c r="E11" s="23"/>
      <x:c r="F11" s="23"/>
      <x:c r="G11" s="23"/>
      <x:c r="H11" s="23"/>
    </x:row>
    <x:row r="12" ht="22" customHeight="1">
      <x:c r="A12" s="23"/>
      <x:c r="B12" s="23"/>
      <x:c r="C12" s="23" t="str">
        <x:v>Recurring contribution / fixed cost</x:v>
      </x:c>
      <x:c r="D12" s="55" t="n">
        <x:f>IF(D25&gt;0,D41/D25,"n.a.")</x:f>
        <x:v>1.0178571428571428</x:v>
      </x:c>
      <x:c r="E12" s="23"/>
      <x:c r="F12" s="23"/>
      <x:c r="G12" s="23"/>
      <x:c r="H12" s="23"/>
    </x:row>
    <x:row r="13" ht="22" customHeight="1">
      <x:c r="A13" s="23"/>
      <x:c r="B13" s="23"/>
      <x:c r="C13" s="23"/>
      <x:c r="D13" s="23"/>
      <x:c r="E13" s="23"/>
      <x:c r="F13" s="23"/>
      <x:c r="G13" s="23"/>
      <x:c r="H13" s="23"/>
    </x:row>
    <x:row r="14" ht="22" customHeight="1">
      <x:c r="A14" s="23"/>
      <x:c r="B14" s="23"/>
      <x:c r="C14" s="64" t="str">
        <x:v>Editable commercial assumptions</x:v>
      </x:c>
      <x:c r="D14" s="64"/>
      <x:c r="E14" s="23"/>
      <x:c r="F14" s="23"/>
      <x:c r="G14" s="23"/>
      <x:c r="H14" s="23"/>
    </x:row>
    <x:row r="15" ht="22" customHeight="1">
      <x:c r="A15" s="23"/>
      <x:c r="B15" s="23"/>
      <x:c r="C15" s="23"/>
      <x:c r="D15" s="23"/>
      <x:c r="E15" s="23"/>
      <x:c r="F15" s="23"/>
      <x:c r="G15" s="23"/>
      <x:c r="H15" s="23"/>
    </x:row>
    <x:row r="16" ht="22" customHeight="1">
      <x:c r="A16" s="23"/>
      <x:c r="B16" s="23"/>
      <x:c r="C16" s="23" t="str">
        <x:v>Institution software customers</x:v>
      </x:c>
      <x:c r="D16" s="67" t="n">
        <x:v>10</x:v>
      </x:c>
      <x:c r="E16" s="23"/>
      <x:c r="F16" s="49" t="str">
        <x:v>Source: Tazdan Manifesto valuation target, 6 October 2026.</x:v>
      </x:c>
      <x:c r="G16" s="49"/>
      <x:c r="H16" s="49"/>
    </x:row>
    <x:row r="17" ht="22" customHeight="1">
      <x:c r="A17" s="23"/>
      <x:c r="B17" s="23"/>
      <x:c r="C17" s="23" t="str">
        <x:v>Annual software fee per institution (USD)</x:v>
      </x:c>
      <x:c r="D17" s="68" t="n">
        <x:v>120000</x:v>
      </x:c>
      <x:c r="E17" s="23"/>
      <x:c r="F17" s="49" t="str">
        <x:v>Proposed prices and sales targets; no signed customers verified.</x:v>
      </x:c>
      <x:c r="G17" s="49"/>
      <x:c r="H17" s="49"/>
    </x:row>
    <x:row r="18" ht="22" customHeight="1">
      <x:c r="A18" s="23"/>
      <x:c r="B18" s="23"/>
      <x:c r="C18" s="23" t="str">
        <x:v>Software contribution margin</x:v>
      </x:c>
      <x:c r="D18" s="69" t="n">
        <x:v>0.8</x:v>
      </x:c>
      <x:c r="E18" s="23"/>
      <x:c r="F18" s="49" t="str">
        <x:v>Payment revenue excludes customer principal and partner pass-through fees.</x:v>
      </x:c>
      <x:c r="G18" s="49"/>
      <x:c r="H18" s="49"/>
    </x:row>
    <x:row r="19" ht="22" customHeight="1">
      <x:c r="A19" s="23"/>
      <x:c r="B19" s="23"/>
      <x:c r="C19" s="23" t="str">
        <x:v>Paying businesses</x:v>
      </x:c>
      <x:c r="D19" s="67" t="n">
        <x:v>3000</x:v>
      </x:c>
      <x:c r="E19" s="23"/>
      <x:c r="F19" s="49" t="str">
        <x:v>Direct cost includes processing, payout, fraud, FX, support and funding.</x:v>
      </x:c>
      <x:c r="G19" s="49"/>
      <x:c r="H19" s="49"/>
    </x:row>
    <x:row r="20" ht="22" customHeight="1">
      <x:c r="A20" s="23"/>
      <x:c r="B20" s="23"/>
      <x:c r="C20" s="23" t="str">
        <x:v>Monthly business subscription (USD)</x:v>
      </x:c>
      <x:c r="D20" s="68" t="n">
        <x:v>75</x:v>
      </x:c>
      <x:c r="E20" s="23"/>
      <x:c r="F20" s="49" t="str">
        <x:v>Fixed cost excludes variable costs already deducted above.</x:v>
      </x:c>
      <x:c r="G20" s="49"/>
      <x:c r="H20" s="49"/>
    </x:row>
    <x:row r="21" ht="22" customHeight="1">
      <x:c r="A21" s="23"/>
      <x:c r="B21" s="23"/>
      <x:c r="C21" s="23" t="str">
        <x:v>Subscription contribution margin</x:v>
      </x:c>
      <x:c r="D21" s="69" t="n">
        <x:v>0.7</x:v>
      </x:c>
      <x:c r="E21" s="23"/>
      <x:c r="F21" s="49" t="str">
        <x:v>Subscription cohorts may use payments; each fee and payment is counted once.</x:v>
      </x:c>
      <x:c r="G21" s="49"/>
      <x:c r="H21" s="49"/>
    </x:row>
    <x:row r="22" ht="22" customHeight="1">
      <x:c r="A22" s="23"/>
      <x:c r="B22" s="23"/>
      <x:c r="C22" s="23" t="str">
        <x:v>Monthly payment volume (USD)</x:v>
      </x:c>
      <x:c r="D22" s="68" t="n">
        <x:v>45000000</x:v>
      </x:c>
      <x:c r="E22" s="23"/>
      <x:c r="F22" s="23"/>
      <x:c r="G22" s="23"/>
      <x:c r="H22" s="23"/>
    </x:row>
    <x:row r="23" ht="22" customHeight="1">
      <x:c r="A23" s="23"/>
      <x:c r="B23" s="23"/>
      <x:c r="C23" s="23" t="str">
        <x:v>Payment fee revenue / volume</x:v>
      </x:c>
      <x:c r="D23" s="70" t="n">
        <x:v>0.009</x:v>
      </x:c>
      <x:c r="E23" s="23"/>
      <x:c r="F23" s="23" t="str">
        <x:v>Annual fixed-cost planning (USD)</x:v>
      </x:c>
      <x:c r="G23" s="23"/>
      <x:c r="H23" s="23"/>
    </x:row>
    <x:row r="24" ht="22" customHeight="1">
      <x:c r="A24" s="23"/>
      <x:c r="B24" s="23"/>
      <x:c r="C24" s="23" t="str">
        <x:v>Variable payment cost / volume</x:v>
      </x:c>
      <x:c r="D24" s="70" t="n">
        <x:v>0.0045</x:v>
      </x:c>
      <x:c r="E24" s="23"/>
      <x:c r="F24" s="23" t="str">
        <x:v>People</x:v>
      </x:c>
      <x:c r="G24" s="30" t="n">
        <x:v>1400000</x:v>
      </x:c>
      <x:c r="H24" s="23"/>
    </x:row>
    <x:row r="25" ht="22" customHeight="1">
      <x:c r="A25" s="23"/>
      <x:c r="B25" s="23"/>
      <x:c r="C25" s="23" t="str">
        <x:v>Annual fixed operating expense (USD)</x:v>
      </x:c>
      <x:c r="D25" s="68" t="n">
        <x:v>2800000</x:v>
      </x:c>
      <x:c r="E25" s="23"/>
      <x:c r="F25" s="23" t="str">
        <x:v>Infrastructure and security</x:v>
      </x:c>
      <x:c r="G25" s="30" t="n">
        <x:v>350000</x:v>
      </x:c>
      <x:c r="H25" s="23"/>
    </x:row>
    <x:row r="26" ht="22" customHeight="1">
      <x:c r="A26" s="23"/>
      <x:c r="B26" s="23"/>
      <x:c r="C26" s="23" t="str">
        <x:v>Lower EBITDA multiple</x:v>
      </x:c>
      <x:c r="D26" s="71" t="n">
        <x:v>8</x:v>
      </x:c>
      <x:c r="E26" s="23"/>
      <x:c r="F26" s="23" t="str">
        <x:v>Legal and compliance</x:v>
      </x:c>
      <x:c r="G26" s="30" t="n">
        <x:v>350000</x:v>
      </x:c>
      <x:c r="H26" s="23"/>
    </x:row>
    <x:row r="27" ht="22" customHeight="1">
      <x:c r="A27" s="23"/>
      <x:c r="B27" s="23"/>
      <x:c r="C27" s="23" t="str">
        <x:v>Upper EBITDA multiple</x:v>
      </x:c>
      <x:c r="D27" s="71" t="n">
        <x:v>10</x:v>
      </x:c>
      <x:c r="E27" s="23"/>
      <x:c r="F27" s="23" t="str">
        <x:v>Sales and marketing</x:v>
      </x:c>
      <x:c r="G27" s="30" t="n">
        <x:v>400000</x:v>
      </x:c>
      <x:c r="H27" s="23"/>
    </x:row>
    <x:row r="28" ht="22" customHeight="1">
      <x:c r="A28" s="23"/>
      <x:c r="B28" s="23"/>
      <x:c r="C28" s="23"/>
      <x:c r="D28" s="23"/>
      <x:c r="E28" s="23"/>
      <x:c r="F28" s="23" t="str">
        <x:v>Other overhead</x:v>
      </x:c>
      <x:c r="G28" s="30" t="n">
        <x:v>300000</x:v>
      </x:c>
      <x:c r="H28" s="23"/>
    </x:row>
    <x:row r="29" ht="22" customHeight="1">
      <x:c r="A29" s="23"/>
      <x:c r="B29" s="23"/>
      <x:c r="C29" s="23"/>
      <x:c r="D29" s="23"/>
      <x:c r="E29" s="23"/>
      <x:c r="F29" s="49" t="str">
        <x:v>This breakdown supports the initial budget; D25 is the editable total.</x:v>
      </x:c>
      <x:c r="G29" s="49"/>
      <x:c r="H29" s="49"/>
    </x:row>
    <x:row r="30" ht="22" customHeight="1">
      <x:c r="A30" s="23"/>
      <x:c r="B30" s="23"/>
      <x:c r="C30" s="64" t="str">
        <x:v>Calculation (USD)</x:v>
      </x:c>
      <x:c r="D30" s="64"/>
      <x:c r="E30" s="23"/>
      <x:c r="F30" s="23"/>
      <x:c r="G30" s="23"/>
      <x:c r="H30" s="23"/>
    </x:row>
    <x:row r="31" ht="22" customHeight="1">
      <x:c r="A31" s="23"/>
      <x:c r="B31" s="23"/>
      <x:c r="C31" s="23" t="str">
        <x:v>Software revenue</x:v>
      </x:c>
      <x:c r="D31" s="54" t="n">
        <x:f>D16*D17</x:f>
        <x:v>1200000</x:v>
      </x:c>
      <x:c r="E31" s="23"/>
      <x:c r="F31" s="23"/>
      <x:c r="G31" s="23"/>
      <x:c r="H31" s="23"/>
    </x:row>
    <x:row r="32" ht="22" customHeight="1">
      <x:c r="A32" s="23"/>
      <x:c r="B32" s="23"/>
      <x:c r="C32" s="23" t="str">
        <x:v>Software contribution</x:v>
      </x:c>
      <x:c r="D32" s="54" t="n">
        <x:f>D31*D18</x:f>
        <x:v>960000</x:v>
      </x:c>
      <x:c r="E32" s="23"/>
      <x:c r="F32" s="23"/>
      <x:c r="G32" s="23"/>
      <x:c r="H32" s="23"/>
    </x:row>
    <x:row r="33" ht="22" customHeight="1">
      <x:c r="A33" s="23"/>
      <x:c r="B33" s="23"/>
      <x:c r="C33" s="23" t="str">
        <x:v>Subscription revenue</x:v>
      </x:c>
      <x:c r="D33" s="54" t="n">
        <x:f>D19*D20*12</x:f>
        <x:v>2700000</x:v>
      </x:c>
      <x:c r="E33" s="23"/>
      <x:c r="F33" s="23"/>
      <x:c r="G33" s="23"/>
      <x:c r="H33" s="23"/>
    </x:row>
    <x:row r="34" ht="22" customHeight="1">
      <x:c r="A34" s="23"/>
      <x:c r="B34" s="23"/>
      <x:c r="C34" s="23" t="str">
        <x:v>Subscription contribution</x:v>
      </x:c>
      <x:c r="D34" s="54" t="n">
        <x:f>D33*D21</x:f>
        <x:v>1889999.9999999998</x:v>
      </x:c>
      <x:c r="E34" s="23"/>
      <x:c r="F34" s="23"/>
      <x:c r="G34" s="23"/>
      <x:c r="H34" s="23"/>
    </x:row>
    <x:row r="35" ht="22" customHeight="1">
      <x:c r="A35" s="23"/>
      <x:c r="B35" s="23"/>
      <x:c r="C35" s="23" t="str">
        <x:v>Annual payment volume</x:v>
      </x:c>
      <x:c r="D35" s="54" t="n">
        <x:f>D22*12</x:f>
        <x:v>540000000</x:v>
      </x:c>
      <x:c r="E35" s="23"/>
      <x:c r="F35" s="23"/>
      <x:c r="G35" s="23"/>
      <x:c r="H35" s="23"/>
    </x:row>
    <x:row r="36" ht="22" customHeight="1">
      <x:c r="A36" s="23"/>
      <x:c r="B36" s="23"/>
      <x:c r="C36" s="23" t="str">
        <x:v>Payment fee revenue</x:v>
      </x:c>
      <x:c r="D36" s="54" t="n">
        <x:f>D35*D23</x:f>
        <x:v>4860000</x:v>
      </x:c>
      <x:c r="E36" s="23"/>
      <x:c r="F36" s="23"/>
      <x:c r="G36" s="23"/>
      <x:c r="H36" s="23"/>
    </x:row>
    <x:row r="37" ht="22" customHeight="1">
      <x:c r="A37" s="23"/>
      <x:c r="B37" s="23"/>
      <x:c r="C37" s="23" t="str">
        <x:v>Payment contribution</x:v>
      </x:c>
      <x:c r="D37" s="54" t="n">
        <x:f>D36-D35*D24</x:f>
        <x:v>2430000</x:v>
      </x:c>
      <x:c r="E37" s="23"/>
      <x:c r="F37" s="23"/>
      <x:c r="G37" s="23"/>
      <x:c r="H37" s="23"/>
    </x:row>
    <x:row r="38" ht="22" customHeight="1">
      <x:c r="A38" s="23"/>
      <x:c r="B38" s="23"/>
      <x:c r="C38" s="47" t="str">
        <x:v>Total revenue</x:v>
      </x:c>
      <x:c r="D38" s="62" t="n">
        <x:f>SUM(D31,D33,D36)</x:f>
        <x:v>8760000</x:v>
      </x:c>
      <x:c r="E38" s="23"/>
      <x:c r="F38" s="23"/>
      <x:c r="G38" s="23"/>
      <x:c r="H38" s="23"/>
    </x:row>
    <x:row r="39" ht="22" customHeight="1">
      <x:c r="A39" s="23"/>
      <x:c r="B39" s="23"/>
      <x:c r="C39" s="47" t="str">
        <x:v>Total contribution</x:v>
      </x:c>
      <x:c r="D39" s="62" t="n">
        <x:f>SUM(D32,D34,D37)</x:f>
        <x:v>5280000</x:v>
      </x:c>
      <x:c r="E39" s="23"/>
      <x:c r="F39" s="23"/>
      <x:c r="G39" s="23"/>
      <x:c r="H39" s="23"/>
    </x:row>
    <x:row r="40" ht="22" customHeight="1">
      <x:c r="A40" s="23"/>
      <x:c r="B40" s="23"/>
      <x:c r="C40" s="47" t="str">
        <x:v>EBITDA</x:v>
      </x:c>
      <x:c r="D40" s="62" t="n">
        <x:f>D39-D25</x:f>
        <x:v>2480000</x:v>
      </x:c>
      <x:c r="E40" s="23"/>
      <x:c r="F40" s="23"/>
      <x:c r="G40" s="23"/>
      <x:c r="H40" s="23"/>
    </x:row>
    <x:row r="41" ht="22" customHeight="1">
      <x:c r="A41" s="23"/>
      <x:c r="B41" s="23"/>
      <x:c r="C41" s="23" t="str">
        <x:v>Recurring software and subscription contribution</x:v>
      </x:c>
      <x:c r="D41" s="54" t="n">
        <x:f>SUM(D32,D34)</x:f>
        <x:v>2850000</x:v>
      </x:c>
      <x:c r="E41" s="23"/>
      <x:c r="F41" s="23"/>
      <x:c r="G41" s="23"/>
      <x:c r="H41" s="23"/>
    </x:row>
    <x:row r="42" ht="22" customHeight="1">
      <x:c r="A42" s="23"/>
      <x:c r="B42" s="23"/>
      <x:c r="C42" s="23" t="str">
        <x:v>Annual payment volume needed to break even</x:v>
      </x:c>
      <x:c r="D42" s="54" t="n">
        <x:f>IF(D41&gt;=D25,0,IF(D23&gt;D24,(D25-D41)/(D23-D24),"n.a."))</x:f>
        <x:v>0</x:v>
      </x:c>
      <x:c r="E42" s="23"/>
      <x:c r="F42" s="23"/>
      <x:c r="G42" s="23"/>
      <x:c r="H42" s="23"/>
    </x:row>
    <x:row r="43" ht="22" customHeight="1">
      <x:c r="A43" s="23"/>
      <x:c r="B43" s="23"/>
      <x:c r="C43" s="23" t="str">
        <x:v>Payment contribution margin</x:v>
      </x:c>
      <x:c r="D43" s="32" t="n">
        <x:f>IF(D36&gt;0,D37/D36,"n.a.")</x:f>
        <x:v>0.5</x:v>
      </x:c>
      <x:c r="E43" s="23"/>
      <x:c r="F43" s="23"/>
      <x:c r="G43" s="23"/>
      <x:c r="H43" s="23"/>
    </x:row>
    <x:row r="44" ht="22" customHeight="1">
      <x:c r="A44" s="23"/>
      <x:c r="B44" s="23"/>
      <x:c r="C44" s="23"/>
      <x:c r="D44" s="23"/>
      <x:c r="E44" s="23"/>
      <x:c r="F44" s="23"/>
      <x:c r="G44" s="23"/>
      <x:c r="H44" s="23"/>
    </x:row>
    <x:row r="45" ht="22" customHeight="1">
      <x:c r="A45" s="23"/>
      <x:c r="B45" s="23"/>
      <x:c r="C45" s="23"/>
      <x:c r="D45" s="23"/>
      <x:c r="E45" s="23"/>
      <x:c r="F45" s="23"/>
      <x:c r="G45" s="23"/>
      <x:c r="H45" s="23"/>
    </x:row>
    <x:row r="46" ht="22" customHeight="1">
      <x:c r="A46" s="23"/>
      <x:c r="B46" s="23"/>
      <x:c r="C46" s="49" t="str">
        <x:v>An 8-10x multiple is a negotiation assumption. EBITDA is not net income or free cash flow.</x:v>
      </x:c>
      <x:c r="D46" s="49"/>
      <x:c r="E46" s="49"/>
      <x:c r="F46" s="49"/>
      <x:c r="G46" s="49"/>
      <x:c r="H46" s="49"/>
    </x:row>
    <x:row r="47" ht="22" customHeight="1">
      <x:c r="A47" s="23"/>
      <x:c r="B47" s="23"/>
      <x:c r="C47" s="49" t="str">
        <x:v>Tax, capex, financing, required capital and prefunding need separate funded schedules.</x:v>
      </x:c>
      <x:c r="D47" s="49"/>
      <x:c r="E47" s="49"/>
      <x:c r="F47" s="49"/>
      <x:c r="G47" s="49"/>
      <x:c r="H47" s="49"/>
    </x:row>
    <x:row r="48" ht="22" customHeight="1">
      <x:c r="A48" s="23"/>
      <x:c r="B48" s="23"/>
      <x:c r="C48" s="49" t="str">
        <x:v>Original target coverage is 1.02x. Seek at least 1.25x recurring contribution before major hiring.</x:v>
      </x:c>
      <x:c r="D48" s="49"/>
      <x:c r="E48" s="49"/>
      <x:c r="F48" s="49"/>
      <x:c r="G48" s="49"/>
      <x:c r="H48" s="49"/>
    </x:row>
    <x:row r="49" ht="22" customHeight="1">
      <x:c r="A49" s="23"/>
      <x:c r="B49" s="23"/>
      <x:c r="C49" s="49" t="str">
        <x:v>With the original inputs, fees at 0.60% and costs at 0.45% reduce EBITDA to USD 860,000.</x:v>
      </x:c>
      <x:c r="D49" s="49"/>
      <x:c r="E49" s="49"/>
      <x:c r="F49" s="49"/>
      <x:c r="G49" s="49"/>
      <x:c r="H49" s="49"/>
    </x:row>
    <x:row r="50" ht="22" customHeight="1">
      <x:c r="A50" s="23"/>
      <x:c r="B50" s="23"/>
      <x:c r="C50" s="49" t="str">
        <x:v>Contracts carry default, renewal and FX risk. No profit guarantee is made.</x:v>
      </x:c>
      <x:c r="D50" s="49"/>
      <x:c r="E50" s="49"/>
      <x:c r="F50" s="49"/>
      <x:c r="G50" s="49"/>
      <x:c r="H50" s="49"/>
    </x:row>
  </x:sheetData>
  <x:dataValidations count="2">
    <x:dataValidation type="whole" operator="between" sqref="D16">
      <x:formula1>0</x:formula1>
      <x:formula2>10000000</x:formula2>
    </x:dataValidation>
    <x:dataValidation type="whole" operator="between" sqref="D19">
      <x:formula1>0</x:formula1>
      <x:formula2>10000000</x:formula2>
    </x:dataValidation>
  </x:dataValidations>
  <x:pageMargins left="0.7" right="0.7" top="0.75" bottom="0.75" header="0.3" footer="0.3"/>
</x:worksheet>
</file>