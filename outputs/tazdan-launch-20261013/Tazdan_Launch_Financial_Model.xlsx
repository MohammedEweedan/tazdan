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2eec9b6e2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ddafedff3f42be"/>
    <x:sheet xmlns:r="http://schemas.openxmlformats.org/officeDocument/2006/relationships" name="Assumptions" sheetId="2" r:id="R928e61a7a6144d99"/>
    <x:sheet xmlns:r="http://schemas.openxmlformats.org/officeDocument/2006/relationships" name="Monthly" sheetId="3" r:id="Rb09802f60b3044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$#,##0;($#,##0);&quot;-&quot;"/>
    <x:numFmt numFmtId="201" formatCode="0"/>
    <x:numFmt numFmtId="202" formatCode="0.0%"/>
    <x:numFmt numFmtId="203" formatCode="0.0&quot;x&quot;"/>
    <x:numFmt numFmtId="204" formatCode="0.0"/>
    <x:numFmt numFmtId="205" formatCode="#,##0"/>
    <x:numFmt numFmtId="206" formatCode="0.00%"/>
    <x:numFmt numFmtId="207" formatCode="$0.00"/>
    <x:numFmt numFmtId="208" formatCode="#,##0;(#,##0);&quot;-&quot;"/>
  </x:numFmts>
  <x:fonts count="11">
    <x:font>
      <x:sz val="11"/>
      <x:name val="Carlito"/>
    </x:font>
    <x:font>
      <x:sz val="10"/>
      <x:color rgb="FF172D42"/>
      <x:name val="Arial"/>
    </x:font>
    <x:font>
      <x:b/>
      <x:sz val="15"/>
      <x:color rgb="FF172D42"/>
      <x:name val="Arial"/>
    </x:font>
    <x:font>
      <x:sz val="10"/>
      <x:color rgb="FF0000FF"/>
      <x:name val="Arial"/>
    </x:font>
    <x:font>
      <x:sz val="10"/>
      <x:color rgb="FF008050"/>
      <x:name val="Arial"/>
    </x:font>
    <x:font>
      <x:i/>
      <x:sz val="10"/>
      <x:color rgb="FF526575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0"/>
      <x:color rgb="FF172D42"/>
      <x:name val="Arial"/>
    </x:font>
    <x:font>
      <x:b/>
      <x:sz val="10"/>
      <x:color rgb="FF000000"/>
      <x:name val="Arial"/>
    </x:font>
    <x:font>
      <x:b/>
      <x:sz val="10"/>
      <x:color rgb="FF00805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D55"/>
      </x:patternFill>
    </x:fill>
    <x:fill>
      <x:patternFill patternType="solid">
        <x:fgColor rgb="FFEAF5FA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039CCD"/>
      </x:bottom>
      <x:diagonal/>
    </x:border>
    <x:border>
      <x:left style="dashed">
        <x:color rgb="FF039CCD"/>
      </x:left>
      <x:right style="dashed">
        <x:color rgb="FF039CCD"/>
      </x:right>
      <x:top style="dashed">
        <x:color rgb="FF039CCD"/>
      </x:top>
      <x:bottom style="dashed">
        <x:color rgb="FF039CCD"/>
      </x:bottom>
      <x:diagonal/>
    </x:border>
    <x:border>
      <x:left/>
      <x:right/>
      <x:top style="thin">
        <x:color rgb="FFC5D5DE"/>
      </x:top>
      <x:bottom/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1" fillId="4" borderId="0" xfId="0" applyNumberFormat="1" applyFont="1" applyFill="1" applyBorder="1"/>
    <x:xf numFmtId="201" fontId="7" fillId="4" borderId="0" xfId="0" applyNumberFormat="1" applyFont="1" applyFill="1" applyBorder="1"/>
    <x:xf numFmtId="0" fontId="8" fillId="4" borderId="0" xfId="0" applyNumberFormat="1" applyFont="1" applyFill="1" applyBorder="1"/>
    <x:xf numFmtId="201" fontId="9" fillId="4" borderId="0" xfId="0" applyNumberFormat="1" applyFont="1" applyFill="1" applyBorder="1"/>
    <x:xf numFmtId="202" fontId="7" fillId="0" borderId="0" xfId="0" applyNumberFormat="1" applyFont="1" applyFill="1" applyBorder="1"/>
    <x:xf numFmtId="202" fontId="7" fillId="4" borderId="0" xfId="0" applyNumberFormat="1" applyFont="1" applyFill="1" applyBorder="1"/>
    <x:xf numFmtId="202" fontId="9" fillId="4" borderId="0" xfId="0" applyNumberFormat="1" applyFont="1" applyFill="1" applyBorder="1"/>
    <x:xf numFmtId="200" fontId="7" fillId="0" borderId="0" xfId="0" applyNumberFormat="1" applyFont="1" applyFill="1" applyBorder="1"/>
    <x:xf numFmtId="200" fontId="7" fillId="4" borderId="0" xfId="0" applyNumberFormat="1" applyFont="1" applyFill="1" applyBorder="1"/>
    <x:xf numFmtId="200" fontId="9" fillId="4" borderId="0" xfId="0" applyNumberFormat="1" applyFont="1" applyFill="1" applyBorder="1"/>
    <x:xf numFmtId="204" fontId="7" fillId="0" borderId="0" xfId="0" applyNumberFormat="1" applyFont="1" applyFill="1" applyBorder="1"/>
    <x:xf numFmtId="204" fontId="3" fillId="0" borderId="0" xfId="0" applyNumberFormat="1" applyFont="1" applyFill="1" applyBorder="1"/>
    <x:xf numFmtId="204" fontId="7" fillId="4" borderId="0" xfId="0" applyNumberFormat="1" applyFont="1" applyFill="1" applyBorder="1"/>
    <x:xf numFmtId="204" fontId="9" fillId="4" borderId="0" xfId="0" applyNumberFormat="1" applyFont="1" applyFill="1" applyBorder="1"/>
    <x:xf numFmtId="205" fontId="7" fillId="0" borderId="0" xfId="0" applyNumberFormat="1" applyFont="1" applyFill="1" applyBorder="1"/>
    <x:xf numFmtId="205" fontId="3" fillId="0" borderId="0" xfId="0" applyNumberFormat="1" applyFont="1" applyFill="1" applyBorder="1"/>
    <x:xf numFmtId="205" fontId="7" fillId="4" borderId="0" xfId="0" applyNumberFormat="1" applyFont="1" applyFill="1" applyBorder="1"/>
    <x:xf numFmtId="205" fontId="9" fillId="4" borderId="0" xfId="0" applyNumberFormat="1" applyFont="1" applyFill="1" applyBorder="1"/>
    <x:xf numFmtId="206" fontId="7" fillId="0" borderId="0" xfId="0" applyNumberFormat="1" applyFont="1" applyFill="1" applyBorder="1"/>
    <x:xf numFmtId="206" fontId="3" fillId="0" borderId="0" xfId="0" applyNumberFormat="1" applyFont="1" applyFill="1" applyBorder="1"/>
    <x:xf numFmtId="206" fontId="7" fillId="4" borderId="0" xfId="0" applyNumberFormat="1" applyFont="1" applyFill="1" applyBorder="1"/>
    <x:xf numFmtId="206" fontId="9" fillId="4" borderId="0" xfId="0" applyNumberFormat="1" applyFont="1" applyFill="1" applyBorder="1"/>
    <x:xf numFmtId="207" fontId="7" fillId="0" borderId="0" xfId="0" applyNumberFormat="1" applyFont="1" applyFill="1" applyBorder="1"/>
    <x:xf numFmtId="207" fontId="3" fillId="0" borderId="0" xfId="0" applyNumberFormat="1" applyFont="1" applyFill="1" applyBorder="1"/>
    <x:xf numFmtId="207" fontId="7" fillId="4" borderId="0" xfId="0" applyNumberFormat="1" applyFont="1" applyFill="1" applyBorder="1"/>
    <x:xf numFmtId="207" fontId="9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208" fontId="4" fillId="0" borderId="0" xfId="0" applyNumberFormat="1" applyFont="1" applyFill="1" applyBorder="1"/>
    <x:xf numFmtId="208" fontId="7" fillId="0" borderId="0" xfId="0" applyNumberFormat="1" applyFont="1" applyFill="1" applyBorder="1"/>
    <x:xf numFmtId="208" fontId="1" fillId="0" borderId="0" xfId="0" applyNumberFormat="1" applyFont="1" applyFill="1" applyBorder="1"/>
    <x:xf numFmtId="201" fontId="4" fillId="0" borderId="0" xfId="0" applyNumberFormat="1" applyFont="1" applyFill="1" applyBorder="1"/>
    <x:xf numFmtId="0" fontId="8" fillId="0" borderId="0" xfId="0" applyNumberFormat="1" applyFont="1" applyFill="1" applyBorder="1"/>
    <x:xf numFmtId="208" fontId="9" fillId="0" borderId="0" xfId="0" applyNumberFormat="1" applyFont="1" applyFill="1" applyBorder="1"/>
    <x:xf numFmtId="0" fontId="8" fillId="0" borderId="3" xfId="0" applyNumberFormat="1" applyFont="1" applyFill="1" applyBorder="1"/>
    <x:xf numFmtId="208" fontId="9" fillId="0" borderId="3" xfId="0" applyNumberFormat="1" applyFont="1" applyFill="1" applyBorder="1"/>
    <x:xf numFmtId="208" fontId="10" fillId="0" borderId="0" xfId="0" applyNumberFormat="1" applyFont="1" applyFill="1" applyBorder="1"/>
    <x:xf numFmtId="208" fontId="10" fillId="0" borderId="3" xfId="0" applyNumberFormat="1" applyFont="1" applyFill="1" applyBorder="1"/>
    <x:xf numFmtId="200" fontId="1" fillId="0" borderId="0" xfId="0" applyNumberFormat="1" applyFont="1" applyFill="1" applyBorder="1"/>
    <x:xf numFmtId="200" fontId="8" fillId="0" borderId="0" xfId="0" applyNumberFormat="1" applyFont="1" applyFill="1" applyBorder="1"/>
    <x:xf numFmtId="200" fontId="8" fillId="0" borderId="3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color rgb="FF9C2525"/>
      </x:font>
      <x:fill>
        <x:patternFill patternType="solid">
          <x:bgColor rgb="FFFCE4D6"/>
        </x:patternFill>
      </x:fill>
    </x:dxf>
    <x:dxf>
      <x:font>
        <x:color rgb="FF9C2525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d7890ba9a42b0" /><Relationship Type="http://schemas.openxmlformats.org/officeDocument/2006/relationships/theme" Target="/xl/theme/theme1.xml" Id="R4037e4771d004659" /><Relationship Type="http://schemas.openxmlformats.org/officeDocument/2006/relationships/sharedStrings" Target="/xl/sharedStrings.xml" Id="Re589878a9ae44408" /><Relationship Type="http://schemas.openxmlformats.org/officeDocument/2006/relationships/worksheet" Target="/xl/worksheets/sheet1.xml" Id="R1bddafedff3f42be" /><Relationship Type="http://schemas.openxmlformats.org/officeDocument/2006/relationships/worksheet" Target="/xl/worksheets/sheet2.xml" Id="R928e61a7a6144d99" /><Relationship Type="http://schemas.openxmlformats.org/officeDocument/2006/relationships/worksheet" Target="/xl/worksheets/sheet3.xml" Id="Rb09802f60b3044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04f2f3b4fc49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operating profit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Tazdan revenue</c:v>
          </c:tx>
          <c:spPr>
            <a:ln xmlns:a="http://schemas.openxmlformats.org/drawingml/2006/main" w="19050">
              <a:solidFill>
                <a:srgbClr val="039CCD"/>
              </a:solidFill>
              <a:prstDash val="solid"/>
            </a:ln>
          </c:spPr>
          <c:marker>
            <c:symbol val="none"/>
          </c:marker>
          <c:cat>
            <c:strRef>
              <c:f>'Summary'!$J$9:$J$13</c:f>
              <c:strCache>
                <c:ptCount val="0"/>
              </c:strCache>
            </c:strRef>
          </c:cat>
          <c:val>
            <c:numRef>
              <c:f>'Summary'!$K$9:$K$13</c:f>
              <c:numCache>
                <c:formatCode>$#,##0;($#,##0);"-"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Operating profit</c:v>
          </c:tx>
          <c:spPr>
            <a:ln xmlns:a="http://schemas.openxmlformats.org/drawingml/2006/main" w="19050">
              <a:solidFill>
                <a:srgbClr val="D59032"/>
              </a:solidFill>
              <a:prstDash val="solid"/>
            </a:ln>
          </c:spPr>
          <c:marker>
            <c:symbol val="none"/>
          </c:marker>
          <c:cat>
            <c:strRef>
              <c:f>'Summary'!$J$9:$J$13</c:f>
              <c:strCache>
                <c:ptCount val="0"/>
              </c:strCache>
            </c:strRef>
          </c:cat>
          <c:val>
            <c:numRef>
              <c:f>'Summary'!$L$9:$L$13</c:f>
              <c:numCache>
                <c:formatCode>$#,##0;($#,##0);"-"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15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04f2f3b4fc495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96dfb9504b43b7" /></Relationships>
</file>

<file path=xl/worksheets/sheet1.xml><?xml version="1.0" encoding="utf-8"?>
<x:worksheet xmlns:x="http://schemas.openxmlformats.org/spreadsheetml/2006/main">
  <x:sheetPr>
    <x:tabColor rgb="FF172D42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</x:row>
    <x:row r="2" ht="21" customHeight="1">
      <x:c r="A2" s="1"/>
      <x:c r="B2" s="1"/>
      <x:c r="C2" s="2" t="str">
        <x:v>Tazdan capital and launch forecast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</x:row>
    <x:row r="3" ht="21" customHeight="1">
      <x:c r="A3" s="1"/>
      <x:c r="B3" s="1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</x:row>
    <x:row r="5" ht="21" customHeight="1">
      <x:c r="A5" s="1"/>
      <x:c r="B5" s="1"/>
      <x:c r="C5" s="1" t="str">
        <x:v>Case selected:</x:v>
      </x:c>
      <x:c r="D5" s="8" t="str">
        <x:f>CHOOSE('Assumptions'!$D$5,"Downside","Base","Upside","Bank-supported")</x:f>
        <x:v>Base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</x:row>
    <x:row r="7" ht="21" customHeight="1">
      <x:c r="A7" s="1"/>
      <x:c r="B7" s="1"/>
      <x:c r="C7" s="1" t="str">
        <x:v>Company capital (USD)</x:v>
      </x:c>
      <x:c r="D7" s="58" t="n">
        <x:f>'Assumptions'!$D$8</x:f>
        <x:v>1600000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</x:row>
    <x:row r="8" ht="26" customHeight="1">
      <x:c r="A8" s="1"/>
      <x:c r="B8" s="1"/>
      <x:c r="C8" s="1"/>
      <x:c r="D8" s="1"/>
      <x:c r="E8" s="1"/>
      <x:c r="F8" s="1"/>
      <x:c r="G8" s="1"/>
      <x:c r="H8" s="1"/>
      <x:c r="I8" s="1"/>
      <x:c r="J8" s="18" t="str">
        <x:v>Funding year</x:v>
      </x:c>
      <x:c r="K8" s="18" t="str">
        <x:v>Tazdan revenue</x:v>
      </x:c>
      <x:c r="L8" s="18" t="str">
        <x:v>Operating profit</x:v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</x:row>
    <x:row r="9" ht="26" customHeight="1">
      <x:c r="A9" s="1"/>
      <x:c r="B9" s="1"/>
      <x:c r="C9" s="18" t="str">
        <x:v>Funding period</x:v>
      </x:c>
      <x:c r="D9" s="18" t="str">
        <x:v>Year 1</x:v>
      </x:c>
      <x:c r="E9" s="18" t="str">
        <x:v>Year 2</x:v>
      </x:c>
      <x:c r="F9" s="18" t="str">
        <x:v>Year 3</x:v>
      </x:c>
      <x:c r="G9" s="18" t="str">
        <x:v>Year 4</x:v>
      </x:c>
      <x:c r="H9" s="18" t="str">
        <x:v>Year 5</x:v>
      </x:c>
      <x:c r="I9" s="1"/>
      <x:c r="J9" s="1" t="str">
        <x:v>Year 1</x:v>
      </x:c>
      <x:c r="K9" s="58" t="n">
        <x:f>D15</x:f>
        <x:v>95199.99999999999</x:v>
      </x:c>
      <x:c r="L9" s="58" t="n">
        <x:f>D21</x:f>
        <x:v>-411310</x:v>
      </x:c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</x:row>
    <x:row r="10" ht="21" customHeight="1">
      <x:c r="A10" s="1"/>
      <x:c r="B10" s="1"/>
      <x:c r="C10" s="1" t="str">
        <x:v>Closing active transacting customers</x:v>
      </x:c>
      <x:c r="D10" s="50" t="n">
        <x:f>'Monthly'!O10</x:f>
        <x:v>3000</x:v>
      </x:c>
      <x:c r="E10" s="50" t="n">
        <x:f>'Monthly'!AA10</x:f>
        <x:v>8500</x:v>
      </x:c>
      <x:c r="F10" s="50" t="n">
        <x:f>'Monthly'!AM10</x:f>
        <x:v>14000</x:v>
      </x:c>
      <x:c r="G10" s="50" t="n">
        <x:f>'Monthly'!AY10</x:f>
        <x:v>21000</x:v>
      </x:c>
      <x:c r="H10" s="50" t="n">
        <x:f>'Monthly'!BK10</x:f>
        <x:v>29000</x:v>
      </x:c>
      <x:c r="I10" s="1"/>
      <x:c r="J10" s="1" t="str">
        <x:v>Year 2</x:v>
      </x:c>
      <x:c r="K10" s="58" t="n">
        <x:f>E15</x:f>
        <x:v>705390</x:v>
      </x:c>
      <x:c r="L10" s="58" t="n">
        <x:f>E21</x:f>
        <x:v>-398137.0833333334</x:v>
      </x:c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</x:row>
    <x:row r="11" ht="21" customHeight="1">
      <x:c r="A11" s="1"/>
      <x:c r="B11" s="1"/>
      <x:c r="C11" s="1" t="str">
        <x:v>Paid principal volume</x:v>
      </x:c>
      <x:c r="D11" s="58" t="n">
        <x:f>SUM('Monthly'!D18:O18)</x:f>
        <x:v>5040000</x:v>
      </x:c>
      <x:c r="E11" s="58" t="n">
        <x:f>SUM('Monthly'!P18:AA18)</x:f>
        <x:v>38122500</x:v>
      </x:c>
      <x:c r="F11" s="58" t="n">
        <x:f>SUM('Monthly'!AB18:AM18)</x:f>
        <x:v>85050000</x:v>
      </x:c>
      <x:c r="G11" s="58" t="n">
        <x:f>SUM('Monthly'!AN18:AY18)</x:f>
        <x:v>149625000</x:v>
      </x:c>
      <x:c r="H11" s="58" t="n">
        <x:f>SUM('Monthly'!AZ18:BK18)</x:f>
        <x:v>240000000.00000003</x:v>
      </x:c>
      <x:c r="I11" s="1"/>
      <x:c r="J11" s="1" t="str">
        <x:v>Year 3</x:v>
      </x:c>
      <x:c r="K11" s="58" t="n">
        <x:f>F15</x:f>
        <x:v>1547160</x:v>
      </x:c>
      <x:c r="L11" s="58" t="n">
        <x:f>F21</x:f>
        <x:v>-225488.33333333355</x:v>
      </x:c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 t="str">
        <x:v>Year 4</x:v>
      </x:c>
      <x:c r="K12" s="58" t="n">
        <x:f>G15</x:f>
        <x:v>2676300</x:v>
      </x:c>
      <x:c r="L12" s="58" t="n">
        <x:f>G21</x:f>
        <x:v>18169.166666666526</x:v>
      </x:c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</x:row>
    <x:row r="13" ht="21" customHeight="1">
      <x:c r="A13" s="1"/>
      <x:c r="B13" s="1"/>
      <x:c r="C13" s="1" t="str">
        <x:v>Total customer fee pool</x:v>
      </x:c>
      <x:c r="D13" s="58" t="n">
        <x:f>SUM('Monthly'!D20:O20)</x:f>
        <x:v>118999.99999999999</x:v>
      </x:c>
      <x:c r="E13" s="58" t="n">
        <x:f>SUM('Monthly'!P20:AA20)</x:f>
        <x:v>881737.5</x:v>
      </x:c>
      <x:c r="F13" s="58" t="n">
        <x:f>SUM('Monthly'!AB20:AM20)</x:f>
        <x:v>1933950</x:v>
      </x:c>
      <x:c r="G13" s="58" t="n">
        <x:f>SUM('Monthly'!AN20:AY20)</x:f>
        <x:v>3345375</x:v>
      </x:c>
      <x:c r="H13" s="58" t="n">
        <x:f>SUM('Monthly'!AZ20:BK20)</x:f>
        <x:v>5280000</x:v>
      </x:c>
      <x:c r="I13" s="1"/>
      <x:c r="J13" s="1" t="str">
        <x:v>Year 5</x:v>
      </x:c>
      <x:c r="K13" s="58" t="n">
        <x:f>H15</x:f>
        <x:v>4224000</x:v>
      </x:c>
      <x:c r="L13" s="58" t="n">
        <x:f>H21</x:f>
        <x:v>435093.3333333328</x:v>
      </x:c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</x:row>
    <x:row r="14" ht="21" customHeight="1">
      <x:c r="A14" s="1"/>
      <x:c r="B14" s="1"/>
      <x:c r="C14" s="1" t="str">
        <x:v>Bank share</x:v>
      </x:c>
      <x:c r="D14" s="58" t="n">
        <x:f>SUM('Monthly'!D21:O21)</x:f>
        <x:v>23799.999999999996</x:v>
      </x:c>
      <x:c r="E14" s="58" t="n">
        <x:f>SUM('Monthly'!P21:AA21)</x:f>
        <x:v>176347.5</x:v>
      </x:c>
      <x:c r="F14" s="58" t="n">
        <x:f>SUM('Monthly'!AB21:AM21)</x:f>
        <x:v>386790</x:v>
      </x:c>
      <x:c r="G14" s="58" t="n">
        <x:f>SUM('Monthly'!AN21:AY21)</x:f>
        <x:v>669075</x:v>
      </x:c>
      <x:c r="H14" s="58" t="n">
        <x:f>SUM('Monthly'!AZ21:BK21)</x:f>
        <x:v>1056000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</x:row>
    <x:row r="15" ht="21" customHeight="1">
      <x:c r="A15" s="1"/>
      <x:c r="B15" s="1"/>
      <x:c r="C15" s="54" t="str">
        <x:v>Tazdan retained revenue</x:v>
      </x:c>
      <x:c r="D15" s="60" t="n">
        <x:f>SUM('Monthly'!D22:O22)</x:f>
        <x:v>95199.99999999999</x:v>
      </x:c>
      <x:c r="E15" s="60" t="n">
        <x:f>SUM('Monthly'!P22:AA22)</x:f>
        <x:v>705390</x:v>
      </x:c>
      <x:c r="F15" s="60" t="n">
        <x:f>SUM('Monthly'!AB22:AM22)</x:f>
        <x:v>1547160</x:v>
      </x:c>
      <x:c r="G15" s="60" t="n">
        <x:f>SUM('Monthly'!AN22:AY22)</x:f>
        <x:v>2676300</x:v>
      </x:c>
      <x:c r="H15" s="60" t="n">
        <x:f>SUM('Monthly'!AZ22:BK22)</x:f>
        <x:v>4224000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</x:row>
    <x:row r="16" ht="21" customHeight="1">
      <x:c r="A16" s="1"/>
      <x:c r="B16" s="1"/>
      <x:c r="C16" s="1" t="str">
        <x:v>Total direct costs</x:v>
      </x:c>
      <x:c r="D16" s="58" t="n">
        <x:f>SUM('Monthly'!D27:O27)</x:f>
        <x:v>62509.99999999999</x:v>
      </x:c>
      <x:c r="E16" s="58" t="n">
        <x:f>SUM('Monthly'!P27:AA27)</x:f>
        <x:v>419777.0833333334</x:v>
      </x:c>
      <x:c r="F16" s="58" t="n">
        <x:f>SUM('Monthly'!AB27:AM27)</x:f>
        <x:v>902898.3333333333</x:v>
      </x:c>
      <x:c r="G16" s="58" t="n">
        <x:f>SUM('Monthly'!AN27:AY27)</x:f>
        <x:v>1556630.8333333335</x:v>
      </x:c>
      <x:c r="H16" s="58" t="n">
        <x:f>SUM('Monthly'!AZ27:BK27)</x:f>
        <x:v>2452906.666666667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</x:row>
    <x:row r="17" ht="21" customHeight="1">
      <x:c r="A17" s="1"/>
      <x:c r="B17" s="1"/>
      <x:c r="C17" s="54" t="str">
        <x:v>Contribution after direct costs</x:v>
      </x:c>
      <x:c r="D17" s="60" t="n">
        <x:f>SUM('Monthly'!D28:O28)</x:f>
        <x:v>32689.999999999993</x:v>
      </x:c>
      <x:c r="E17" s="60" t="n">
        <x:f>SUM('Monthly'!P28:AA28)</x:f>
        <x:v>285612.9166666666</x:v>
      </x:c>
      <x:c r="F17" s="60" t="n">
        <x:f>SUM('Monthly'!AB28:AM28)</x:f>
        <x:v>644261.6666666665</x:v>
      </x:c>
      <x:c r="G17" s="60" t="n">
        <x:f>SUM('Monthly'!AN28:AY28)</x:f>
        <x:v>1119669.1666666667</x:v>
      </x:c>
      <x:c r="H17" s="60" t="n">
        <x:f>SUM('Monthly'!AZ28:BK28)</x:f>
        <x:v>1771093.3333333335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</x:row>
    <x:row r="19" ht="21" customHeight="1">
      <x:c r="A19" s="1"/>
      <x:c r="B19" s="1"/>
      <x:c r="C19" s="1" t="str">
        <x:v>Fixed operating cash cost</x:v>
      </x:c>
      <x:c r="D19" s="58" t="n">
        <x:f>SUM('Monthly'!D30:O30)</x:f>
        <x:v>360000</x:v>
      </x:c>
      <x:c r="E19" s="58" t="n">
        <x:f>SUM('Monthly'!P30:AA30)</x:f>
        <x:v>480000</x:v>
      </x:c>
      <x:c r="F19" s="58" t="n">
        <x:f>SUM('Monthly'!AB30:AM30)</x:f>
        <x:v>600000</x:v>
      </x:c>
      <x:c r="G19" s="58" t="n">
        <x:f>SUM('Monthly'!AN30:AY30)</x:f>
        <x:v>720000</x:v>
      </x:c>
      <x:c r="H19" s="58" t="n">
        <x:f>SUM('Monthly'!AZ30:BK30)</x:f>
        <x:v>840000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</x:row>
    <x:row r="20" ht="21" customHeight="1">
      <x:c r="A20" s="1"/>
      <x:c r="B20" s="1"/>
      <x:c r="C20" s="1" t="str">
        <x:v>Acquisition spending</x:v>
      </x:c>
      <x:c r="D20" s="58" t="n">
        <x:f>SUM('Monthly'!D31:O31)</x:f>
        <x:v>84000.00000000001</x:v>
      </x:c>
      <x:c r="E20" s="58" t="n">
        <x:f>SUM('Monthly'!P31:AA31)</x:f>
        <x:v>203750.00000000006</x:v>
      </x:c>
      <x:c r="F20" s="58" t="n">
        <x:f>SUM('Monthly'!AB31:AM31)</x:f>
        <x:v>269750.00000000023</x:v>
      </x:c>
      <x:c r="G20" s="58" t="n">
        <x:f>SUM('Monthly'!AN31:AY31)</x:f>
        <x:v>381500.00000000023</x:v>
      </x:c>
      <x:c r="H20" s="58" t="n">
        <x:f>SUM('Monthly'!AZ31:BK31)</x:f>
        <x:v>496000.00000000047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</x:row>
    <x:row r="21" ht="21" customHeight="1">
      <x:c r="A21" s="1"/>
      <x:c r="B21" s="1"/>
      <x:c r="C21" s="54" t="str">
        <x:v>Operating profit before tax</x:v>
      </x:c>
      <x:c r="D21" s="60" t="n">
        <x:f>SUM('Monthly'!D32:O32)</x:f>
        <x:v>-411310</x:v>
      </x:c>
      <x:c r="E21" s="60" t="n">
        <x:f>SUM('Monthly'!P32:AA32)</x:f>
        <x:v>-398137.0833333334</x:v>
      </x:c>
      <x:c r="F21" s="60" t="n">
        <x:f>SUM('Monthly'!AB32:AM32)</x:f>
        <x:v>-225488.33333333355</x:v>
      </x:c>
      <x:c r="G21" s="60" t="n">
        <x:f>SUM('Monthly'!AN32:AY32)</x:f>
        <x:v>18169.166666666526</x:v>
      </x:c>
      <x:c r="H21" s="60" t="n">
        <x:f>SUM('Monthly'!AZ32:BK32)</x:f>
        <x:v>435093.3333333328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</x:row>
    <x:row r="23" ht="21" customHeight="1">
      <x:c r="A23" s="1"/>
      <x:c r="B23" s="1"/>
      <x:c r="C23" s="1" t="str">
        <x:v>Planning cash tax reserve</x:v>
      </x:c>
      <x:c r="D23" s="58" t="n">
        <x:f>SUM('Monthly'!D34:O34)</x:f>
        <x:v>0</x:v>
      </x:c>
      <x:c r="E23" s="58" t="n">
        <x:f>SUM('Monthly'!P34:AA34)</x:f>
        <x:v>0</x:v>
      </x:c>
      <x:c r="F23" s="58" t="n">
        <x:f>SUM('Monthly'!AB34:AM34)</x:f>
        <x:v>0</x:v>
      </x:c>
      <x:c r="G23" s="58" t="n">
        <x:f>SUM('Monthly'!AN34:AY34)</x:f>
        <x:v>11328.26041666666</x:v>
      </x:c>
      <x:c r="H23" s="58" t="n">
        <x:f>SUM('Monthly'!AZ34:BK34)</x:f>
        <x:v>87018.66666666657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</x:row>
    <x:row r="24" ht="21" customHeight="1">
      <x:c r="A24" s="1"/>
      <x:c r="B24" s="1"/>
      <x:c r="C24" s="1" t="str">
        <x:v>Capital spending</x:v>
      </x:c>
      <x:c r="D24" s="58" t="n">
        <x:f>SUM('Monthly'!D35:O35)</x:f>
        <x:v>14000</x:v>
      </x:c>
      <x:c r="E24" s="58" t="n">
        <x:f>SUM('Monthly'!P35:AA35)</x:f>
        <x:v>24000</x:v>
      </x:c>
      <x:c r="F24" s="58" t="n">
        <x:f>SUM('Monthly'!AB35:AM35)</x:f>
        <x:v>24000</x:v>
      </x:c>
      <x:c r="G24" s="58" t="n">
        <x:f>SUM('Monthly'!AN35:AY35)</x:f>
        <x:v>24000</x:v>
      </x:c>
      <x:c r="H24" s="58" t="n">
        <x:f>SUM('Monthly'!AZ35:BK35)</x:f>
        <x:v>24000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</x:row>
    <x:row r="25" ht="21" customHeight="1">
      <x:c r="A25" s="1"/>
      <x:c r="B25" s="1"/>
      <x:c r="C25" s="1" t="str">
        <x:v>One-time setup cash</x:v>
      </x:c>
      <x:c r="D25" s="58" t="n">
        <x:f>SUM('Monthly'!D36:O36)</x:f>
        <x:v>300000</x:v>
      </x:c>
      <x:c r="E25" s="58" t="n">
        <x:f>SUM('Monthly'!P36:AA36)</x:f>
        <x:v>0</x:v>
      </x:c>
      <x:c r="F25" s="58" t="n">
        <x:f>SUM('Monthly'!AB36:AM36)</x:f>
        <x:v>0</x:v>
      </x:c>
      <x:c r="G25" s="58" t="n">
        <x:f>SUM('Monthly'!AN36:AY36)</x:f>
        <x:v>0</x:v>
      </x:c>
      <x:c r="H25" s="58" t="n">
        <x:f>SUM('Monthly'!AZ36:BK36)</x:f>
        <x:v>0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</x:row>
    <x:row r="26" ht="21" customHeight="1">
      <x:c r="A26" s="1"/>
      <x:c r="B26" s="1"/>
      <x:c r="C26" s="1" t="str">
        <x:v>Additional prefunding this month</x:v>
      </x:c>
      <x:c r="D26" s="58" t="n">
        <x:f>SUM('Monthly'!D39:O39)</x:f>
        <x:v>0</x:v>
      </x:c>
      <x:c r="E26" s="58" t="n">
        <x:f>SUM('Monthly'!P39:AA39)</x:f>
        <x:v>0</x:v>
      </x:c>
      <x:c r="F26" s="58" t="n">
        <x:f>SUM('Monthly'!AB39:AM39)</x:f>
        <x:v>755</x:v>
      </x:c>
      <x:c r="G26" s="58" t="n">
        <x:f>SUM('Monthly'!AN39:AY39)</x:f>
        <x:v>210740.83333333343</x:v>
      </x:c>
      <x:c r="H26" s="58" t="n">
        <x:f>SUM('Monthly'!AZ39:BK39)</x:f>
        <x:v>283526.38888888893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</x:row>
    <x:row r="27" ht="21" customHeight="1">
      <x:c r="A27" s="1"/>
      <x:c r="B27" s="1"/>
      <x:c r="C27" s="54" t="str">
        <x:v>Free cash after tax, setup and prefunding</x:v>
      </x:c>
      <x:c r="D27" s="60" t="n">
        <x:f>SUM('Monthly'!D40:O40)</x:f>
        <x:v>-725309.9999999999</x:v>
      </x:c>
      <x:c r="E27" s="60" t="n">
        <x:f>SUM('Monthly'!P40:AA40)</x:f>
        <x:v>-422137.0833333334</x:v>
      </x:c>
      <x:c r="F27" s="60" t="n">
        <x:f>SUM('Monthly'!AB40:AM40)</x:f>
        <x:v>-250243.33333333355</x:v>
      </x:c>
      <x:c r="G27" s="60" t="n">
        <x:f>SUM('Monthly'!AN40:AY40)</x:f>
        <x:v>-227899.9270833336</x:v>
      </x:c>
      <x:c r="H27" s="60" t="n">
        <x:f>SUM('Monthly'!AZ40:BK40)</x:f>
        <x:v>40548.27777777735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</x:row>
    <x:row r="29" ht="21" customHeight="1">
      <x:c r="A29" s="1"/>
      <x:c r="B29" s="1"/>
      <x:c r="C29" s="54" t="str">
        <x:v>Unrestricted corporate cash</x:v>
      </x:c>
      <x:c r="D29" s="60" t="n">
        <x:f>'Monthly'!O44</x:f>
        <x:v>574690.0000000001</x:v>
      </x:c>
      <x:c r="E29" s="60" t="n">
        <x:f>'Monthly'!AA44</x:f>
        <x:v>152552.91666666674</x:v>
      </x:c>
      <x:c r="F29" s="60" t="n">
        <x:f>'Monthly'!AM44</x:f>
        <x:v>-97690.41666666685</x:v>
      </x:c>
      <x:c r="G29" s="60" t="n">
        <x:f>'Monthly'!AY44</x:f>
        <x:v>-325590.34375000035</x:v>
      </x:c>
      <x:c r="H29" s="60" t="n">
        <x:f>'Monthly'!BK44</x:f>
        <x:v>-285042.06597222306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</x:row>
    <x:row r="30" ht="21" customHeight="1">
      <x:c r="A30" s="1"/>
      <x:c r="B30" s="1"/>
      <x:c r="C30" s="1" t="str">
        <x:v>Corporate prefunding held</x:v>
      </x:c>
      <x:c r="D30" s="58" t="n">
        <x:f>'Monthly'!O38</x:f>
        <x:v>300000</x:v>
      </x:c>
      <x:c r="E30" s="58" t="n">
        <x:f>'Monthly'!AA38</x:f>
        <x:v>300000</x:v>
      </x:c>
      <x:c r="F30" s="58" t="n">
        <x:f>'Monthly'!AM38</x:f>
        <x:v>300755</x:v>
      </x:c>
      <x:c r="G30" s="58" t="n">
        <x:f>'Monthly'!AY38</x:f>
        <x:v>511495.83333333343</x:v>
      </x:c>
      <x:c r="H30" s="58" t="n">
        <x:f>'Monthly'!BK38</x:f>
        <x:v>795022.2222222224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</x:row>
    <x:row r="33" ht="24" customHeight="1">
      <x:c r="A33" s="1"/>
      <x:c r="B33" s="1"/>
      <x:c r="C33" s="23" t="str">
        <x:v>Timing from funding close</x:v>
      </x:c>
      <x:c r="D33" s="23"/>
      <x:c r="E33" s="23"/>
      <x:c r="F33" s="23"/>
      <x:c r="G33" s="23"/>
      <x:c r="H33" s="23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</x:row>
    <x:row r="34" ht="21" customHeight="1">
      <x:c r="A34" s="1"/>
      <x:c r="B34" s="1"/>
      <x:c r="C34" s="1" t="str">
        <x:v>Three consecutive profitable months</x:v>
      </x:c>
      <x:c r="D34" s="1" t="n">
        <x:f>IF(COUNTIFS('Monthly'!D47:BK47,1)=0,"Beyond 60 months",MATCH(1,'Monthly'!D47:BK47,0))</x:f>
        <x:v>44</x:v>
      </x:c>
      <x:c r="E34" s="1"/>
      <x:c r="F34" s="61" t="str">
        <x:v>Operating profit is before tax and excludes one-time setup and capex.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</x:row>
    <x:row r="35" ht="21" customHeight="1">
      <x:c r="A35" s="1"/>
      <x:c r="B35" s="1"/>
      <x:c r="C35" s="1" t="str">
        <x:v>Setup and operating losses recovered</x:v>
      </x:c>
      <x:c r="D35" s="1" t="str">
        <x:f>IF(COUNTIFS('Monthly'!D48:BK48,1)=0,"Beyond 60 months",MATCH(1,'Monthly'!D48:BK48,0))</x:f>
        <x:v>Beyond 60 months</x:v>
      </x:c>
      <x:c r="E35" s="1"/>
      <x:c r="F35" s="6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</x:row>
    <x:row r="36" ht="21" customHeight="1">
      <x:c r="A36" s="1"/>
      <x:c r="B36" s="1"/>
      <x:c r="C36" s="1" t="str">
        <x:v>Full investment earned back from free cash</x:v>
      </x:c>
      <x:c r="D36" s="1" t="str">
        <x:f>IF(COUNTIFS('Monthly'!D49:BK49,1)=0,"Beyond 60 months",MATCH(1,'Monthly'!D49:BK49,0))</x:f>
        <x:v>Beyond 60 months</x:v>
      </x:c>
      <x:c r="E36" s="1"/>
      <x:c r="F36" s="61" t="str">
        <x:v>Full payback retains settlement prefunding and contingency; no exit is modeled.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</x:row>
    <x:row r="37" ht="21" customHeight="1">
      <x:c r="A37" s="1"/>
      <x:c r="B37" s="1"/>
      <x:c r="C37" s="1" t="str">
        <x:v>Contingency reserve first needed</x:v>
      </x:c>
      <x:c r="D37" s="1" t="n">
        <x:f>IF(COUNTIFS('Monthly'!D51:BK51,1)=0,"Beyond 60 months",MATCH(1,'Monthly'!D51:BK51,0))</x:f>
        <x:v>23</x:v>
      </x:c>
      <x:c r="E37" s="1"/>
      <x:c r="F37" s="6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</x:row>
    <x:row r="38" ht="21" customHeight="1">
      <x:c r="A38" s="1"/>
      <x:c r="B38" s="1"/>
      <x:c r="C38" s="1" t="str">
        <x:v>Unrestricted cash first exhausted</x:v>
      </x:c>
      <x:c r="D38" s="1" t="n">
        <x:f>IF(COUNTIFS('Monthly'!D50:BK50,1)=0,"Beyond 60 months",MATCH(1,'Monthly'!D50:BK50,0))</x:f>
        <x:v>30</x:v>
      </x:c>
      <x:c r="E38" s="1"/>
      <x:c r="F38" s="61" t="str">
        <x:v>Negative cash requires new funding, cost reductions or stopping operations.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</x:row>
    <x:row r="41" ht="21" customHeight="1">
      <x:c r="A41" s="1"/>
      <x:c r="B41" s="1"/>
      <x:c r="C41" s="1" t="str">
        <x:v>Minimum corporate cash</x:v>
      </x:c>
      <x:c r="D41" s="58" t="n">
        <x:f>MIN('Monthly'!D44:BK44)</x:f>
        <x:v>-398658.0659722226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</x:row>
    <x:row r="42" ht="21" customHeight="1">
      <x:c r="A42" s="1"/>
      <x:c r="B42" s="1"/>
      <x:c r="C42" s="1" t="str">
        <x:v>Extra cash needed to preserve contingency</x:v>
      </x:c>
      <x:c r="D42" s="58" t="n">
        <x:f>MAX(0,-MIN('Monthly'!D45:BK45))</x:f>
        <x:v>598658.0659722226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</x:row>
    <x:row r="45" ht="21" customHeight="1">
      <x:c r="A45" s="1"/>
      <x:c r="B45" s="1"/>
      <x:c r="C45" s="14" t="str">
        <x:v>Change the single selector on Assumptions; inputs are blue and active inputs are shaded.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</x:row>
    <x:row r="46" ht="21" customHeight="1">
      <x:c r="A46" s="1"/>
      <x:c r="B46" s="1"/>
      <x:c r="C46" s="14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</x:row>
    <x:row r="47" ht="21" customHeight="1">
      <x:c r="A47" s="1"/>
      <x:c r="B47" s="1"/>
      <x:c r="C47" s="14" t="str">
        <x:v>Launch, pricing and bank terms are conditional assumptions. This model contains no production actuals.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</x:row>
    <x:row r="86" ht="21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</x:row>
    <x:row r="87" ht="21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</x:row>
    <x:row r="88" ht="21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</x:row>
    <x:row r="89" ht="21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</x:row>
    <x:row r="111" ht="21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</x:row>
    <x:row r="112" ht="21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</x:row>
    <x:row r="126" ht="21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</x:row>
    <x:row r="128" ht="21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</x:row>
    <x:row r="129" ht="21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</x:row>
    <x:row r="130" ht="21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</x:row>
    <x:row r="131" ht="21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</x:row>
    <x:row r="132" ht="21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</x:row>
  </x:sheetData>
  <x:conditionalFormatting sqref="D10:H30">
    <x:cfRule type="cellIs" dxfId="1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2d96dfb9504b43b7"/>
</x:worksheet>
</file>

<file path=xl/worksheets/sheet2.xml><?xml version="1.0" encoding="utf-8"?>
<x:worksheet xmlns:x="http://schemas.openxmlformats.org/spreadsheetml/2006/main">
  <x:sheetPr>
    <x:tabColor rgb="FF039CCD"/>
  </x:sheetPr>
  <x:sheetViews>
    <x:sheetView showGridLines="0" workbookViewId="0">
      <x:pane xSplit="3" ySplit="19" topLeftCell="D20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20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</x:row>
    <x:row r="2" ht="21" customHeight="1">
      <x:c r="A2" s="1"/>
      <x:c r="B2" s="1"/>
      <x:c r="C2" s="2" t="str">
        <x:v>Forecast assumptions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</x:row>
    <x:row r="3" ht="21" customHeight="1">
      <x:c r="A3" s="1"/>
      <x:c r="B3" s="1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</x:row>
    <x:row r="5" ht="21" customHeight="1">
      <x:c r="A5" s="1"/>
      <x:c r="B5" s="1"/>
      <x:c r="C5" s="1" t="str">
        <x:v>Case selected (1 / 2 / 3 / 4)</x:v>
      </x:c>
      <x:c r="D5" s="5" t="n">
        <x:v>2</x:v>
      </x:c>
      <x:c r="E5" s="1"/>
      <x:c r="F5" s="1" t="str">
        <x:v>1 Downside   2 Base   3 Upside   4 Bank-supported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</x:row>
    <x:row r="7" ht="21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</x:row>
    <x:row r="8" ht="21" customHeight="1">
      <x:c r="A8" s="1"/>
      <x:c r="B8" s="1"/>
      <x:c r="C8" s="1" t="str">
        <x:v>Company investment</x:v>
      </x:c>
      <x:c r="D8" s="10" t="n">
        <x:v>1600000</x:v>
      </x:c>
      <x:c r="E8" s="1"/>
      <x:c r="F8" s="1"/>
      <x:c r="G8" s="14" t="str">
        <x:v>All forecasts start in October 2026. Years are 12-month funding periods.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</x:row>
    <x:row r="9" ht="21" customHeight="1">
      <x:c r="A9" s="1"/>
      <x:c r="B9" s="1"/>
      <x:c r="C9" s="1" t="str">
        <x:v>Initial corporate settlement prefunding</x:v>
      </x:c>
      <x:c r="D9" s="10" t="n">
        <x:v>300000</x:v>
      </x:c>
      <x:c r="E9" s="1"/>
      <x:c r="F9" s="1"/>
      <x:c r="G9" s="14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</x:row>
    <x:row r="10" ht="21" customHeight="1">
      <x:c r="A10" s="1"/>
      <x:c r="B10" s="1"/>
      <x:c r="C10" s="1" t="str">
        <x:v>Protected contingency reserve</x:v>
      </x:c>
      <x:c r="D10" s="10" t="n">
        <x:v>200000</x:v>
      </x:c>
      <x:c r="E10" s="1"/>
      <x:c r="F10" s="1"/>
      <x:c r="G10" s="14" t="str">
        <x:v>Customer balances are excluded from company capital and revenue.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</x:row>
    <x:row r="11" ht="21" customHeight="1">
      <x:c r="A11" s="1"/>
      <x:c r="B11" s="1"/>
      <x:c r="C11" s="1" t="str">
        <x:v>One-time legal, integration and assurance cash</x:v>
      </x:c>
      <x:c r="D11" s="10" t="n">
        <x:v>300000</x:v>
      </x:c>
      <x:c r="E11" s="1"/>
      <x:c r="F11" s="1"/>
      <x:c r="G11" s="14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</x:row>
    <x:row r="12" ht="21" customHeight="1">
      <x:c r="A12" s="1"/>
      <x:c r="B12" s="1"/>
      <x:c r="C12" s="1" t="str">
        <x:v>Setup cash spread over months</x:v>
      </x:c>
      <x:c r="D12" s="11" t="n">
        <x:v>6</x:v>
      </x:c>
      <x:c r="E12" s="1"/>
      <x:c r="F12" s="1"/>
      <x:c r="G12" s="14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</x:row>
    <x:row r="13" ht="21" customHeight="1">
      <x:c r="A13" s="1"/>
      <x:c r="B13" s="1"/>
      <x:c r="C13" s="1" t="str">
        <x:v>Planning tax reserve rate</x:v>
      </x:c>
      <x:c r="D13" s="12" t="n">
        <x:v>0.2</x:v>
      </x:c>
      <x:c r="E13" s="1"/>
      <x:c r="F13" s="1"/>
      <x:c r="G13" s="14" t="str">
        <x:v>20% is an editable planning reserve, not a verified statutory tax rate.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</x:row>
    <x:row r="14" ht="21" customHeight="1">
      <x:c r="A14" s="1"/>
      <x:c r="B14" s="1"/>
      <x:c r="C14" s="1" t="str">
        <x:v>Post-launch monthly capital spending</x:v>
      </x:c>
      <x:c r="D14" s="10" t="n">
        <x:v>2000</x:v>
      </x:c>
      <x:c r="E14" s="1"/>
      <x:c r="F14" s="1"/>
      <x:c r="G14" s="14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</x:row>
    <x:row r="15" ht="21" customHeight="1">
      <x:c r="A15" s="1"/>
      <x:c r="B15" s="1"/>
      <x:c r="C15" s="1" t="str">
        <x:v>Settlement liquidity safety multiple</x:v>
      </x:c>
      <x:c r="D15" s="13" t="n">
        <x:v>1.3</x:v>
      </x:c>
      <x:c r="E15" s="1"/>
      <x:c r="F15" s="1"/>
      <x:c r="G15" s="14" t="str">
        <x:v>Prefunding stays restricted; no terminal release or borrowing is assumed.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</x:row>
    <x:row r="18" ht="26" customHeight="1">
      <x:c r="A18" s="1"/>
      <x:c r="B18" s="1"/>
      <x:c r="C18" s="18" t="str">
        <x:v>Driver / selection</x:v>
      </x:c>
      <x:c r="D18" s="18" t="str">
        <x:v>Scalar</x:v>
      </x:c>
      <x:c r="E18" s="18"/>
      <x:c r="F18" s="18"/>
      <x:c r="G18" s="18" t="str">
        <x:v>Year 1</x:v>
      </x:c>
      <x:c r="H18" s="18" t="str">
        <x:v>Year 2</x:v>
      </x:c>
      <x:c r="I18" s="18" t="str">
        <x:v>Year 3</x:v>
      </x:c>
      <x:c r="J18" s="18" t="str">
        <x:v>Year 4</x:v>
      </x:c>
      <x:c r="K18" s="18" t="str">
        <x:v>Year 5</x:v>
      </x:c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</x:row>
    <x:row r="20" ht="21" customHeight="1">
      <x:c r="A20" s="1"/>
      <x:c r="B20" s="1"/>
      <x:c r="C20" s="23" t="str">
        <x:v>First live month — Active</x:v>
      </x:c>
      <x:c r="D20" s="24" t="n">
        <x:f>CHOOSE($D$5,IF(ISNUMBER(D21),D21,"Missing input"),IF(ISNUMBER(D22),D22,"Missing input"),IF(ISNUMBER(D23),D23,"Missing input"),IF(ISNUMBER(D24),D24,"Missing input"))</x:f>
        <x:v>6</x:v>
      </x:c>
      <x:c r="E20" s="23"/>
      <x:c r="F20" s="23"/>
      <x:c r="G20" s="23"/>
      <x:c r="H20" s="23"/>
      <x:c r="I20" s="23"/>
      <x:c r="J20" s="23"/>
      <x:c r="K20" s="23"/>
      <x:c r="L20" s="1"/>
      <x:c r="M20" s="47" t="str">
        <x:v>Source and basis</x:v>
      </x:c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</x:row>
    <x:row r="21" ht="21" customHeight="1">
      <x:c r="A21" s="1"/>
      <x:c r="B21" s="1"/>
      <x:c r="C21" s="1" t="str">
        <x:v>Downside</x:v>
      </x:c>
      <x:c r="D21" s="11" t="n">
        <x:v>10</x:v>
      </x:c>
      <x:c r="E21" s="1"/>
      <x:c r="F21" s="1"/>
      <x:c r="G21" s="1"/>
      <x:c r="H21" s="1"/>
      <x:c r="I21" s="1"/>
      <x:c r="J21" s="1"/>
      <x:c r="K21" s="1"/>
      <x:c r="L21" s="1"/>
      <x:c r="M21" s="47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</x:row>
    <x:row r="22" ht="21" customHeight="1">
      <x:c r="A22" s="1"/>
      <x:c r="B22" s="1"/>
      <x:c r="C22" s="1" t="str">
        <x:v>Base</x:v>
      </x:c>
      <x:c r="D22" s="11" t="n">
        <x:v>6</x:v>
      </x:c>
      <x:c r="E22" s="1"/>
      <x:c r="F22" s="1"/>
      <x:c r="G22" s="1"/>
      <x:c r="H22" s="1"/>
      <x:c r="I22" s="1"/>
      <x:c r="J22" s="1"/>
      <x:c r="K22" s="1"/>
      <x:c r="L22" s="1"/>
      <x:c r="M22" s="47" t="str">
        <x:v>Capital: founder request, 13 October 2026.</x:v>
      </x:c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</x:row>
    <x:row r="23" ht="21" customHeight="1">
      <x:c r="A23" s="1"/>
      <x:c r="B23" s="1"/>
      <x:c r="C23" s="1" t="str">
        <x:v>Upside</x:v>
      </x:c>
      <x:c r="D23" s="11" t="n">
        <x:v>4</x:v>
      </x:c>
      <x:c r="E23" s="1"/>
      <x:c r="F23" s="1"/>
      <x:c r="G23" s="1"/>
      <x:c r="H23" s="1"/>
      <x:c r="I23" s="1"/>
      <x:c r="J23" s="1"/>
      <x:c r="K23" s="1"/>
      <x:c r="L23" s="1"/>
      <x:c r="M23" s="47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</x:row>
    <x:row r="24" ht="21" customHeight="1">
      <x:c r="A24" s="1"/>
      <x:c r="B24" s="1"/>
      <x:c r="C24" s="1" t="str">
        <x:v>Bank-supported</x:v>
      </x:c>
      <x:c r="D24" s="11" t="n">
        <x:v>6</x:v>
      </x:c>
      <x:c r="E24" s="1"/>
      <x:c r="F24" s="1"/>
      <x:c r="G24" s="1"/>
      <x:c r="H24" s="1"/>
      <x:c r="I24" s="1"/>
      <x:c r="J24" s="1"/>
      <x:c r="K24" s="1"/>
      <x:c r="L24" s="1"/>
      <x:c r="M24" s="47" t="str">
        <x:v>Partner: founder says a prospective bank owner may offer Tazdan under the bank.</x:v>
      </x:c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47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</x:row>
    <x:row r="26" ht="21" customHeight="1">
      <x:c r="A26" s="1"/>
      <x:c r="B26" s="1"/>
      <x:c r="C26" s="23" t="str">
        <x:v>Monthly active-customer churn — Active</x:v>
      </x:c>
      <x:c r="D26" s="27" t="n">
        <x:f>CHOOSE($D$5,IF(ISNUMBER(D27),D27,"Missing input"),IF(ISNUMBER(D28),D28,"Missing input"),IF(ISNUMBER(D29),D29,"Missing input"),IF(ISNUMBER(D30),D30,"Missing input"))</x:f>
        <x:v>0.04</x:v>
      </x:c>
      <x:c r="E26" s="23"/>
      <x:c r="F26" s="23"/>
      <x:c r="G26" s="23"/>
      <x:c r="H26" s="23"/>
      <x:c r="I26" s="23"/>
      <x:c r="J26" s="23"/>
      <x:c r="K26" s="23"/>
      <x:c r="L26" s="1"/>
      <x:c r="M26" s="47" t="str">
        <x:v>All customer, price, cost and share inputs are analyst assumptions; no signed rate card or cohort data supplied.</x:v>
      </x:c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</x:row>
    <x:row r="27" ht="21" customHeight="1">
      <x:c r="A27" s="1"/>
      <x:c r="B27" s="1"/>
      <x:c r="C27" s="1" t="str">
        <x:v>Downside</x:v>
      </x:c>
      <x:c r="D27" s="12" t="n">
        <x:v>0.05</x:v>
      </x:c>
      <x:c r="E27" s="1"/>
      <x:c r="F27" s="1"/>
      <x:c r="G27" s="1"/>
      <x:c r="H27" s="1"/>
      <x:c r="I27" s="1"/>
      <x:c r="J27" s="1"/>
      <x:c r="K27" s="1"/>
      <x:c r="L27" s="1"/>
      <x:c r="M27" s="47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</x:row>
    <x:row r="28" ht="21" customHeight="1">
      <x:c r="A28" s="1"/>
      <x:c r="B28" s="1"/>
      <x:c r="C28" s="1" t="str">
        <x:v>Base</x:v>
      </x:c>
      <x:c r="D28" s="12" t="n">
        <x:v>0.04</x:v>
      </x:c>
      <x:c r="E28" s="1"/>
      <x:c r="F28" s="1"/>
      <x:c r="G28" s="1"/>
      <x:c r="H28" s="1"/>
      <x:c r="I28" s="1"/>
      <x:c r="J28" s="1"/>
      <x:c r="K28" s="1"/>
      <x:c r="L28" s="1"/>
      <x:c r="M28" s="47" t="str">
        <x:v>Fixed opex includes staff, compliance, support, infrastructure and recurring vendor minimums.</x:v>
      </x:c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</x:row>
    <x:row r="29" ht="21" customHeight="1">
      <x:c r="A29" s="1"/>
      <x:c r="B29" s="1"/>
      <x:c r="C29" s="1" t="str">
        <x:v>Upside</x:v>
      </x:c>
      <x:c r="D29" s="12" t="n">
        <x:v>0.03</x:v>
      </x:c>
      <x:c r="E29" s="1"/>
      <x:c r="F29" s="1"/>
      <x:c r="G29" s="1"/>
      <x:c r="H29" s="1"/>
      <x:c r="I29" s="1"/>
      <x:c r="J29" s="1"/>
      <x:c r="K29" s="1"/>
      <x:c r="L29" s="1"/>
      <x:c r="M29" s="47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</x:row>
    <x:row r="30" ht="21" customHeight="1">
      <x:c r="A30" s="1"/>
      <x:c r="B30" s="1"/>
      <x:c r="C30" s="1" t="str">
        <x:v>Bank-supported</x:v>
      </x:c>
      <x:c r="D30" s="12" t="n">
        <x:v>0.04</x:v>
      </x:c>
      <x:c r="E30" s="1"/>
      <x:c r="F30" s="1"/>
      <x:c r="G30" s="1"/>
      <x:c r="H30" s="1"/>
      <x:c r="I30" s="1"/>
      <x:c r="J30" s="1"/>
      <x:c r="K30" s="1"/>
      <x:c r="L30" s="1"/>
      <x:c r="M30" s="47" t="str">
        <x:v>Base fixed opex: $30k / $40k / $50k / $60k / $70k per month across Years 1–5.</x:v>
      </x:c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47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</x:row>
    <x:row r="32" ht="21" customHeight="1">
      <x:c r="A32" s="1"/>
      <x:c r="B32" s="1"/>
      <x:c r="C32" s="23" t="str">
        <x:v>Cost per newly activated customer — Active</x:v>
      </x:c>
      <x:c r="D32" s="30" t="n">
        <x:f>CHOOSE($D$5,IF(ISNUMBER(D33),D33,"Missing input"),IF(ISNUMBER(D34),D34,"Missing input"),IF(ISNUMBER(D35),D35,"Missing input"),IF(ISNUMBER(D36),D36,"Missing input"))</x:f>
        <x:v>25</x:v>
      </x:c>
      <x:c r="E32" s="23"/>
      <x:c r="F32" s="23"/>
      <x:c r="G32" s="23"/>
      <x:c r="H32" s="23"/>
      <x:c r="I32" s="23"/>
      <x:c r="J32" s="23"/>
      <x:c r="K32" s="23"/>
      <x:c r="L32" s="1"/>
      <x:c r="M32" s="47" t="str">
        <x:v>Year-1 $30k/month: team $16k, compliance/legal $6k, support $3k, infra/security $3k, admin $2k.</x:v>
      </x:c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</x:row>
    <x:row r="33" ht="21" customHeight="1">
      <x:c r="A33" s="1"/>
      <x:c r="B33" s="1"/>
      <x:c r="C33" s="1" t="str">
        <x:v>Downside</x:v>
      </x:c>
      <x:c r="D33" s="10" t="n">
        <x:v>35</x:v>
      </x:c>
      <x:c r="E33" s="1"/>
      <x:c r="F33" s="1"/>
      <x:c r="G33" s="1"/>
      <x:c r="H33" s="1"/>
      <x:c r="I33" s="1"/>
      <x:c r="J33" s="1"/>
      <x:c r="K33" s="1"/>
      <x:c r="L33" s="1"/>
      <x:c r="M33" s="47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</x:row>
    <x:row r="34" ht="21" customHeight="1">
      <x:c r="A34" s="1"/>
      <x:c r="B34" s="1"/>
      <x:c r="C34" s="1" t="str">
        <x:v>Base</x:v>
      </x:c>
      <x:c r="D34" s="10" t="n">
        <x:v>25</x:v>
      </x:c>
      <x:c r="E34" s="1"/>
      <x:c r="F34" s="1"/>
      <x:c r="G34" s="1"/>
      <x:c r="H34" s="1"/>
      <x:c r="I34" s="1"/>
      <x:c r="J34" s="1"/>
      <x:c r="K34" s="1"/>
      <x:c r="L34" s="1"/>
      <x:c r="M34" s="47" t="str">
        <x:v>Setup $300k: legal/provider onboarding $150k; integration, independent security and device QA $150k.</x:v>
      </x:c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</x:row>
    <x:row r="35" ht="21" customHeight="1">
      <x:c r="A35" s="1"/>
      <x:c r="B35" s="1"/>
      <x:c r="C35" s="1" t="str">
        <x:v>Upside</x:v>
      </x:c>
      <x:c r="D35" s="10" t="n">
        <x:v>20</x:v>
      </x:c>
      <x:c r="E35" s="1"/>
      <x:c r="F35" s="1"/>
      <x:c r="G35" s="1"/>
      <x:c r="H35" s="1"/>
      <x:c r="I35" s="1"/>
      <x:c r="J35" s="1"/>
      <x:c r="K35" s="1"/>
      <x:c r="L35" s="1"/>
      <x:c r="M35" s="47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</x:row>
    <x:row r="36" ht="21" customHeight="1">
      <x:c r="A36" s="1"/>
      <x:c r="B36" s="1"/>
      <x:c r="C36" s="1" t="str">
        <x:v>Bank-supported</x:v>
      </x:c>
      <x:c r="D36" s="10" t="n">
        <x:v>12</x:v>
      </x:c>
      <x:c r="E36" s="1"/>
      <x:c r="F36" s="1"/>
      <x:c r="G36" s="1"/>
      <x:c r="H36" s="1"/>
      <x:c r="I36" s="1"/>
      <x:c r="J36" s="1"/>
      <x:c r="K36" s="1"/>
      <x:c r="L36" s="1"/>
      <x:c r="M36" s="47" t="str">
        <x:v>Bank share covers commercial oversight/service access. Direct rail costs remain separate pending negotiation.</x:v>
      </x:c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47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</x:row>
    <x:row r="38" ht="21" customHeight="1">
      <x:c r="A38" s="1"/>
      <x:c r="B38" s="1"/>
      <x:c r="C38" s="23" t="str">
        <x:v>Check-to-activation success — Active</x:v>
      </x:c>
      <x:c r="D38" s="27" t="n">
        <x:f>CHOOSE($D$5,IF(ISNUMBER(D39),D39,"Missing input"),IF(ISNUMBER(D40),D40,"Missing input"),IF(ISNUMBER(D41),D41,"Missing input"),IF(ISNUMBER(D42),D42,"Missing input"))</x:f>
        <x:v>0.75</x:v>
      </x:c>
      <x:c r="E38" s="23"/>
      <x:c r="F38" s="23"/>
      <x:c r="G38" s="23"/>
      <x:c r="H38" s="23"/>
      <x:c r="I38" s="23"/>
      <x:c r="J38" s="23"/>
      <x:c r="K38" s="23"/>
      <x:c r="L38" s="1"/>
      <x:c r="M38" s="47" t="str">
        <x:v>Gross fee pool is shown separately. Tazdan revenue is the retained contracted service fee after bank share.</x:v>
      </x:c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</x:row>
    <x:row r="39" ht="21" customHeight="1">
      <x:c r="A39" s="1"/>
      <x:c r="B39" s="1"/>
      <x:c r="C39" s="1" t="str">
        <x:v>Downside</x:v>
      </x:c>
      <x:c r="D39" s="12" t="n">
        <x:v>0.75</x:v>
      </x:c>
      <x:c r="E39" s="1"/>
      <x:c r="F39" s="1"/>
      <x:c r="G39" s="1"/>
      <x:c r="H39" s="1"/>
      <x:c r="I39" s="1"/>
      <x:c r="J39" s="1"/>
      <x:c r="K39" s="1"/>
      <x:c r="L39" s="1"/>
      <x:c r="M39" s="47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</x:row>
    <x:row r="40" ht="21" customHeight="1">
      <x:c r="A40" s="1"/>
      <x:c r="B40" s="1"/>
      <x:c r="C40" s="1" t="str">
        <x:v>Base</x:v>
      </x:c>
      <x:c r="D40" s="12" t="n">
        <x:v>0.75</x:v>
      </x:c>
      <x:c r="E40" s="1"/>
      <x:c r="F40" s="1"/>
      <x:c r="G40" s="1"/>
      <x:c r="H40" s="1"/>
      <x:c r="I40" s="1"/>
      <x:c r="J40" s="1"/>
      <x:c r="K40" s="1"/>
      <x:c r="L40" s="1"/>
      <x:c r="M40" s="47" t="str">
        <x:v>Business fee is subscription only; no extra business transaction volume is added or counted twice.</x:v>
      </x:c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</x:row>
    <x:row r="41" ht="21" customHeight="1">
      <x:c r="A41" s="1"/>
      <x:c r="B41" s="1"/>
      <x:c r="C41" s="1" t="str">
        <x:v>Upside</x:v>
      </x:c>
      <x:c r="D41" s="12" t="n">
        <x:v>0.8</x:v>
      </x:c>
      <x:c r="E41" s="1"/>
      <x:c r="F41" s="1"/>
      <x:c r="G41" s="1"/>
      <x:c r="H41" s="1"/>
      <x:c r="I41" s="1"/>
      <x:c r="J41" s="1"/>
      <x:c r="K41" s="1"/>
      <x:c r="L41" s="1"/>
      <x:c r="M41" s="47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</x:row>
    <x:row r="42" ht="21" customHeight="1">
      <x:c r="A42" s="1"/>
      <x:c r="B42" s="1"/>
      <x:c r="C42" s="1" t="str">
        <x:v>Bank-supported</x:v>
      </x:c>
      <x:c r="D42" s="12" t="n">
        <x:v>0.75</x:v>
      </x:c>
      <x:c r="E42" s="1"/>
      <x:c r="F42" s="1"/>
      <x:c r="G42" s="1"/>
      <x:c r="H42" s="1"/>
      <x:c r="I42" s="1"/>
      <x:c r="J42" s="1"/>
      <x:c r="K42" s="1"/>
      <x:c r="L42" s="1"/>
      <x:c r="M42" s="47" t="str">
        <x:v>Paid volume excludes free internal transfers, balances held and repeat ledger legs.</x:v>
      </x:c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47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</x:row>
    <x:row r="44" ht="21" customHeight="1">
      <x:c r="A44" s="1"/>
      <x:c r="B44" s="1"/>
      <x:c r="C44" s="23" t="str">
        <x:v>Cost per verification check — Active</x:v>
      </x:c>
      <x:c r="D44" s="30" t="n">
        <x:f>CHOOSE($D$5,IF(ISNUMBER(D45),D45,"Missing input"),IF(ISNUMBER(D46),D46,"Missing input"),IF(ISNUMBER(D47),D47,"Missing input"),IF(ISNUMBER(D48),D48,"Missing input"))</x:f>
        <x:v>2</x:v>
      </x:c>
      <x:c r="E44" s="23"/>
      <x:c r="F44" s="23"/>
      <x:c r="G44" s="23"/>
      <x:c r="H44" s="23"/>
      <x:c r="I44" s="23"/>
      <x:c r="J44" s="23"/>
      <x:c r="K44" s="23"/>
      <x:c r="L44" s="1"/>
      <x:c r="M44" s="47" t="str">
        <x:v>Customers ramp linearly between year-end targets. Revenue uses average opening/closing active customers.</x:v>
      </x:c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</x:row>
    <x:row r="45" ht="21" customHeight="1">
      <x:c r="A45" s="1"/>
      <x:c r="B45" s="1"/>
      <x:c r="C45" s="1" t="str">
        <x:v>Downside</x:v>
      </x:c>
      <x:c r="D45" s="10" t="n">
        <x:v>2</x:v>
      </x:c>
      <x:c r="E45" s="1"/>
      <x:c r="F45" s="1"/>
      <x:c r="G45" s="1"/>
      <x:c r="H45" s="1"/>
      <x:c r="I45" s="1"/>
      <x:c r="J45" s="1"/>
      <x:c r="K45" s="1"/>
      <x:c r="L45" s="1"/>
      <x:c r="M45" s="47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</x:row>
    <x:row r="46" ht="21" customHeight="1">
      <x:c r="A46" s="1"/>
      <x:c r="B46" s="1"/>
      <x:c r="C46" s="1" t="str">
        <x:v>Base</x:v>
      </x:c>
      <x:c r="D46" s="10" t="n">
        <x:v>2</x:v>
      </x:c>
      <x:c r="E46" s="1"/>
      <x:c r="F46" s="1"/>
      <x:c r="G46" s="1"/>
      <x:c r="H46" s="1"/>
      <x:c r="I46" s="1"/>
      <x:c r="J46" s="1"/>
      <x:c r="K46" s="1"/>
      <x:c r="L46" s="1"/>
      <x:c r="M46" s="47" t="str">
        <x:v>Tax uses positive monthly operating profit, with no loss credits. No debt, exit value or customer-fund financing.</x:v>
      </x:c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</x:row>
    <x:row r="47" ht="21" customHeight="1">
      <x:c r="A47" s="1"/>
      <x:c r="B47" s="1"/>
      <x:c r="C47" s="1" t="str">
        <x:v>Upside</x:v>
      </x:c>
      <x:c r="D47" s="10" t="n">
        <x:v>2</x:v>
      </x:c>
      <x:c r="E47" s="1"/>
      <x:c r="F47" s="1"/>
      <x:c r="G47" s="1"/>
      <x:c r="H47" s="1"/>
      <x:c r="I47" s="1"/>
      <x:c r="J47" s="1"/>
      <x:c r="K47" s="1"/>
      <x:c r="L47" s="1"/>
      <x:c r="M47" s="47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</x:row>
    <x:row r="48" ht="21" customHeight="1">
      <x:c r="A48" s="1"/>
      <x:c r="B48" s="1"/>
      <x:c r="C48" s="1" t="str">
        <x:v>Bank-supported</x:v>
      </x:c>
      <x:c r="D48" s="10" t="n">
        <x:v>2</x:v>
      </x:c>
      <x:c r="E48" s="1"/>
      <x:c r="F48" s="1"/>
      <x:c r="G48" s="1"/>
      <x:c r="H48" s="1"/>
      <x:c r="I48" s="1"/>
      <x:c r="J48" s="1"/>
      <x:c r="K48" s="1"/>
      <x:c r="L48" s="1"/>
      <x:c r="M48" s="47" t="str">
        <x:v>Post-cash-exhaustion forecasts are conditional; the business must cut costs, stop or obtain new funding.</x:v>
      </x:c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47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</x:row>
    <x:row r="50" ht="21" customHeight="1">
      <x:c r="A50" s="1"/>
      <x:c r="B50" s="1"/>
      <x:c r="C50" s="23" t="str">
        <x:v>Bank share of customer fee pool — Active</x:v>
      </x:c>
      <x:c r="D50" s="27" t="n">
        <x:f>CHOOSE($D$5,IF(ISNUMBER(D51),D51,"Missing input"),IF(ISNUMBER(D52),D52,"Missing input"),IF(ISNUMBER(D53),D53,"Missing input"),IF(ISNUMBER(D54),D54,"Missing input"))</x:f>
        <x:v>0.2</x:v>
      </x:c>
      <x:c r="E50" s="23"/>
      <x:c r="F50" s="23"/>
      <x:c r="G50" s="23"/>
      <x:c r="H50" s="23"/>
      <x:c r="I50" s="23"/>
      <x:c r="J50" s="23"/>
      <x:c r="K50" s="23"/>
      <x:c r="L50" s="1"/>
      <x:c r="M50" s="47" t="str">
        <x:v>Public market context, not forecast calibration:</x:v>
      </x:c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</x:row>
    <x:row r="51" ht="21" customHeight="1">
      <x:c r="A51" s="1"/>
      <x:c r="B51" s="1"/>
      <x:c r="C51" s="1" t="str">
        <x:v>Downside</x:v>
      </x:c>
      <x:c r="D51" s="12" t="n">
        <x:v>0.3</x:v>
      </x:c>
      <x:c r="E51" s="1"/>
      <x:c r="F51" s="1"/>
      <x:c r="G51" s="1"/>
      <x:c r="H51" s="1"/>
      <x:c r="I51" s="1"/>
      <x:c r="J51" s="1"/>
      <x:c r="K51" s="1"/>
      <x:c r="L51" s="1"/>
      <x:c r="M51" s="47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</x:row>
    <x:row r="52" ht="21" customHeight="1">
      <x:c r="A52" s="1"/>
      <x:c r="B52" s="1"/>
      <x:c r="C52" s="1" t="str">
        <x:v>Base</x:v>
      </x:c>
      <x:c r="D52" s="12" t="n">
        <x:v>0.2</x:v>
      </x:c>
      <x:c r="E52" s="1"/>
      <x:c r="F52" s="1"/>
      <x:c r="G52" s="1"/>
      <x:c r="H52" s="1"/>
      <x:c r="I52" s="1"/>
      <x:c r="J52" s="1"/>
      <x:c r="K52" s="1"/>
      <x:c r="L52" s="1"/>
      <x:c r="M52" s="47" t="str">
        <x:v>CBL 2025 statement, p6: electronic payment instruments LYD 389bn; not a Tazdan addressable-market estimate.</x:v>
      </x:c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</x:row>
    <x:row r="53" ht="21" customHeight="1">
      <x:c r="A53" s="1"/>
      <x:c r="B53" s="1"/>
      <x:c r="C53" s="1" t="str">
        <x:v>Upside</x:v>
      </x:c>
      <x:c r="D53" s="12" t="n">
        <x:v>0.15</x:v>
      </x:c>
      <x:c r="E53" s="1"/>
      <x:c r="F53" s="1"/>
      <x:c r="G53" s="1"/>
      <x:c r="H53" s="1"/>
      <x:c r="I53" s="1"/>
      <x:c r="J53" s="1"/>
      <x:c r="K53" s="1"/>
      <x:c r="L53" s="1"/>
      <x:c r="M53" s="47" t="str">
        <x:v>https://cbl.gov.ly/en/wp-content/uploads/sites/4/2026/01/Revenue-and-Expenditure-Statemen-from-1st-Jan-to-31-Dec-2025.pdf</x:v>
      </x:c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</x:row>
    <x:row r="54" ht="21" customHeight="1">
      <x:c r="A54" s="1"/>
      <x:c r="B54" s="1"/>
      <x:c r="C54" s="1" t="str">
        <x:v>Bank-supported</x:v>
      </x:c>
      <x:c r="D54" s="12" t="n">
        <x:v>0.2</x:v>
      </x:c>
      <x:c r="E54" s="1"/>
      <x:c r="F54" s="1"/>
      <x:c r="G54" s="1"/>
      <x:c r="H54" s="1"/>
      <x:c r="I54" s="1"/>
      <x:c r="J54" s="1"/>
      <x:c r="K54" s="1"/>
      <x:c r="L54" s="1"/>
      <x:c r="M54" s="47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47" t="str">
        <x:v>IMF mission statement, 10 April 2026: FX pressure, banking reform and digitalization.</x:v>
      </x:c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</x:row>
    <x:row r="56" ht="21" customHeight="1">
      <x:c r="A56" s="1"/>
      <x:c r="B56" s="1"/>
      <x:c r="C56" s="23" t="str">
        <x:v>Volume needing external prefunding — Active</x:v>
      </x:c>
      <x:c r="D56" s="27" t="n">
        <x:f>CHOOSE($D$5,IF(ISNUMBER(D57),D57,"Missing input"),IF(ISNUMBER(D58),D58,"Missing input"),IF(ISNUMBER(D59),D59,"Missing input"),IF(ISNUMBER(D60),D60,"Missing input"))</x:f>
        <x:v>0.4</x:v>
      </x:c>
      <x:c r="E56" s="23"/>
      <x:c r="F56" s="23"/>
      <x:c r="G56" s="23"/>
      <x:c r="H56" s="23"/>
      <x:c r="I56" s="23"/>
      <x:c r="J56" s="23"/>
      <x:c r="K56" s="23"/>
      <x:c r="L56" s="1"/>
      <x:c r="M56" s="47" t="str">
        <x:v>https://www.imf.org/en/news/articles/2026/04/10/mcs-04102026-libya-staff-concluding-statement-of-the-2026-article-iv-consultation-mission</x:v>
      </x:c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</x:row>
    <x:row r="57" ht="21" customHeight="1">
      <x:c r="A57" s="1"/>
      <x:c r="B57" s="1"/>
      <x:c r="C57" s="1" t="str">
        <x:v>Downside</x:v>
      </x:c>
      <x:c r="D57" s="12" t="n">
        <x:v>0.6</x:v>
      </x:c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</x:row>
    <x:row r="58" ht="21" customHeight="1">
      <x:c r="A58" s="1"/>
      <x:c r="B58" s="1"/>
      <x:c r="C58" s="1" t="str">
        <x:v>Base</x:v>
      </x:c>
      <x:c r="D58" s="12" t="n">
        <x:v>0.4</x:v>
      </x:c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</x:row>
    <x:row r="59" ht="21" customHeight="1">
      <x:c r="A59" s="1"/>
      <x:c r="B59" s="1"/>
      <x:c r="C59" s="1" t="str">
        <x:v>Upside</x:v>
      </x:c>
      <x:c r="D59" s="12" t="n">
        <x:v>0.4</x:v>
      </x:c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</x:row>
    <x:row r="60" ht="21" customHeight="1">
      <x:c r="A60" s="1"/>
      <x:c r="B60" s="1"/>
      <x:c r="C60" s="1" t="str">
        <x:v>Bank-supported</x:v>
      </x:c>
      <x:c r="D60" s="12" t="n">
        <x:v>0.4</x:v>
      </x:c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</x:row>
    <x:row r="62" ht="21" customHeight="1">
      <x:c r="A62" s="1"/>
      <x:c r="B62" s="1"/>
      <x:c r="C62" s="23" t="str">
        <x:v>Settlement days prefunded — Active</x:v>
      </x:c>
      <x:c r="D62" s="34" t="n">
        <x:f>CHOOSE($D$5,IF(ISNUMBER(D63),D63,"Missing input"),IF(ISNUMBER(D64),D64,"Missing input"),IF(ISNUMBER(D65),D65,"Missing input"),IF(ISNUMBER(D66),D66,"Missing input"))</x:f>
        <x:v>2</x:v>
      </x:c>
      <x:c r="E62" s="23"/>
      <x:c r="F62" s="23"/>
      <x:c r="G62" s="23"/>
      <x:c r="H62" s="23"/>
      <x:c r="I62" s="23"/>
      <x:c r="J62" s="23"/>
      <x:c r="K62" s="23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</x:row>
    <x:row r="63" ht="21" customHeight="1">
      <x:c r="A63" s="1"/>
      <x:c r="B63" s="1"/>
      <x:c r="C63" s="1" t="str">
        <x:v>Downside</x:v>
      </x:c>
      <x:c r="D63" s="32" t="n">
        <x:v>4</x:v>
      </x:c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</x:row>
    <x:row r="64" ht="21" customHeight="1">
      <x:c r="A64" s="1"/>
      <x:c r="B64" s="1"/>
      <x:c r="C64" s="1" t="str">
        <x:v>Base</x:v>
      </x:c>
      <x:c r="D64" s="32" t="n">
        <x:v>2</x:v>
      </x:c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</x:row>
    <x:row r="65" ht="21" customHeight="1">
      <x:c r="A65" s="1"/>
      <x:c r="B65" s="1"/>
      <x:c r="C65" s="1" t="str">
        <x:v>Upside</x:v>
      </x:c>
      <x:c r="D65" s="32" t="n">
        <x:v>2</x:v>
      </x:c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</x:row>
    <x:row r="66" ht="21" customHeight="1">
      <x:c r="A66" s="1"/>
      <x:c r="B66" s="1"/>
      <x:c r="C66" s="1" t="str">
        <x:v>Bank-supported</x:v>
      </x:c>
      <x:c r="D66" s="32" t="n">
        <x:v>2</x:v>
      </x:c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</x:row>
    <x:row r="68" ht="21" customHeight="1">
      <x:c r="A68" s="1"/>
      <x:c r="B68" s="1"/>
      <x:c r="C68" s="23" t="str">
        <x:v>Year-end transacting customers — Active</x:v>
      </x:c>
      <x:c r="D68" s="23"/>
      <x:c r="E68" s="23"/>
      <x:c r="F68" s="23"/>
      <x:c r="G68" s="38" t="n">
        <x:f>CHOOSE($D$5,IF(ISNUMBER(G69),G69,"Missing input"),IF(ISNUMBER(G70),G70,"Missing input"),IF(ISNUMBER(G71),G71,"Missing input"),IF(ISNUMBER(G72),G72,"Missing input"))</x:f>
        <x:v>3000</x:v>
      </x:c>
      <x:c r="H68" s="38" t="n">
        <x:f>CHOOSE($D$5,IF(ISNUMBER(H69),H69,"Missing input"),IF(ISNUMBER(H70),H70,"Missing input"),IF(ISNUMBER(H71),H71,"Missing input"),IF(ISNUMBER(H72),H72,"Missing input"))</x:f>
        <x:v>8500</x:v>
      </x:c>
      <x:c r="I68" s="38" t="n">
        <x:f>CHOOSE($D$5,IF(ISNUMBER(I69),I69,"Missing input"),IF(ISNUMBER(I70),I70,"Missing input"),IF(ISNUMBER(I71),I71,"Missing input"),IF(ISNUMBER(I72),I72,"Missing input"))</x:f>
        <x:v>14000</x:v>
      </x:c>
      <x:c r="J68" s="38" t="n">
        <x:f>CHOOSE($D$5,IF(ISNUMBER(J69),J69,"Missing input"),IF(ISNUMBER(J70),J70,"Missing input"),IF(ISNUMBER(J71),J71,"Missing input"),IF(ISNUMBER(J72),J72,"Missing input"))</x:f>
        <x:v>21000</x:v>
      </x:c>
      <x:c r="K68" s="38" t="n">
        <x:f>CHOOSE($D$5,IF(ISNUMBER(K69),K69,"Missing input"),IF(ISNUMBER(K70),K70,"Missing input"),IF(ISNUMBER(K71),K71,"Missing input"),IF(ISNUMBER(K72),K72,"Missing input"))</x:f>
        <x:v>29000</x:v>
      </x:c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</x:row>
    <x:row r="69" ht="21" customHeight="1">
      <x:c r="A69" s="1"/>
      <x:c r="B69" s="1"/>
      <x:c r="C69" s="1" t="str">
        <x:v>Downside</x:v>
      </x:c>
      <x:c r="D69" s="1"/>
      <x:c r="E69" s="1"/>
      <x:c r="F69" s="1"/>
      <x:c r="G69" s="36" t="n">
        <x:v>700</x:v>
      </x:c>
      <x:c r="H69" s="36" t="n">
        <x:v>2500</x:v>
      </x:c>
      <x:c r="I69" s="36" t="n">
        <x:v>4500</x:v>
      </x:c>
      <x:c r="J69" s="36" t="n">
        <x:v>6500</x:v>
      </x:c>
      <x:c r="K69" s="36" t="n">
        <x:v>9000</x:v>
      </x:c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</x:row>
    <x:row r="70" ht="21" customHeight="1">
      <x:c r="A70" s="1"/>
      <x:c r="B70" s="1"/>
      <x:c r="C70" s="1" t="str">
        <x:v>Base</x:v>
      </x:c>
      <x:c r="D70" s="1"/>
      <x:c r="E70" s="1"/>
      <x:c r="F70" s="1"/>
      <x:c r="G70" s="36" t="n">
        <x:v>3000</x:v>
      </x:c>
      <x:c r="H70" s="36" t="n">
        <x:v>8500</x:v>
      </x:c>
      <x:c r="I70" s="36" t="n">
        <x:v>14000</x:v>
      </x:c>
      <x:c r="J70" s="36" t="n">
        <x:v>21000</x:v>
      </x:c>
      <x:c r="K70" s="36" t="n">
        <x:v>29000</x:v>
      </x:c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</x:row>
    <x:row r="71" ht="21" customHeight="1">
      <x:c r="A71" s="1"/>
      <x:c r="B71" s="1"/>
      <x:c r="C71" s="1" t="str">
        <x:v>Upside</x:v>
      </x:c>
      <x:c r="D71" s="1"/>
      <x:c r="E71" s="1"/>
      <x:c r="F71" s="1"/>
      <x:c r="G71" s="36" t="n">
        <x:v>6000</x:v>
      </x:c>
      <x:c r="H71" s="36" t="n">
        <x:v>16000</x:v>
      </x:c>
      <x:c r="I71" s="36" t="n">
        <x:v>30000</x:v>
      </x:c>
      <x:c r="J71" s="36" t="n">
        <x:v>45000</x:v>
      </x:c>
      <x:c r="K71" s="36" t="n">
        <x:v>60000</x:v>
      </x:c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</x:row>
    <x:row r="72" ht="21" customHeight="1">
      <x:c r="A72" s="1"/>
      <x:c r="B72" s="1"/>
      <x:c r="C72" s="1" t="str">
        <x:v>Bank-supported</x:v>
      </x:c>
      <x:c r="D72" s="1"/>
      <x:c r="E72" s="1"/>
      <x:c r="F72" s="1"/>
      <x:c r="G72" s="36" t="n">
        <x:v>3000</x:v>
      </x:c>
      <x:c r="H72" s="36" t="n">
        <x:v>8500</x:v>
      </x:c>
      <x:c r="I72" s="36" t="n">
        <x:v>14000</x:v>
      </x:c>
      <x:c r="J72" s="36" t="n">
        <x:v>21000</x:v>
      </x:c>
      <x:c r="K72" s="36" t="n">
        <x:v>29000</x:v>
      </x:c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</x:row>
    <x:row r="74" ht="21" customHeight="1">
      <x:c r="A74" s="1"/>
      <x:c r="B74" s="1"/>
      <x:c r="C74" s="23" t="str">
        <x:v>Year-end paying business accounts — Active</x:v>
      </x:c>
      <x:c r="D74" s="23"/>
      <x:c r="E74" s="23"/>
      <x:c r="F74" s="23"/>
      <x:c r="G74" s="38" t="n">
        <x:f>CHOOSE($D$5,IF(ISNUMBER(G75),G75,"Missing input"),IF(ISNUMBER(G76),G76,"Missing input"),IF(ISNUMBER(G77),G77,"Missing input"),IF(ISNUMBER(G78),G78,"Missing input"))</x:f>
        <x:v>40</x:v>
      </x:c>
      <x:c r="H74" s="38" t="n">
        <x:f>CHOOSE($D$5,IF(ISNUMBER(H75),H75,"Missing input"),IF(ISNUMBER(H76),H76,"Missing input"),IF(ISNUMBER(H77),H77,"Missing input"),IF(ISNUMBER(H78),H78,"Missing input"))</x:f>
        <x:v>130</x:v>
      </x:c>
      <x:c r="I74" s="38" t="n">
        <x:f>CHOOSE($D$5,IF(ISNUMBER(I75),I75,"Missing input"),IF(ISNUMBER(I76),I76,"Missing input"),IF(ISNUMBER(I77),I77,"Missing input"),IF(ISNUMBER(I78),I78,"Missing input"))</x:f>
        <x:v>250</x:v>
      </x:c>
      <x:c r="J74" s="38" t="n">
        <x:f>CHOOSE($D$5,IF(ISNUMBER(J75),J75,"Missing input"),IF(ISNUMBER(J76),J76,"Missing input"),IF(ISNUMBER(J77),J77,"Missing input"),IF(ISNUMBER(J78),J78,"Missing input"))</x:f>
        <x:v>400</x:v>
      </x:c>
      <x:c r="K74" s="38" t="n">
        <x:f>CHOOSE($D$5,IF(ISNUMBER(K75),K75,"Missing input"),IF(ISNUMBER(K76),K76,"Missing input"),IF(ISNUMBER(K77),K77,"Missing input"),IF(ISNUMBER(K78),K78,"Missing input"))</x:f>
        <x:v>600</x:v>
      </x:c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</x:row>
    <x:row r="75" ht="21" customHeight="1">
      <x:c r="A75" s="1"/>
      <x:c r="B75" s="1"/>
      <x:c r="C75" s="1" t="str">
        <x:v>Downside</x:v>
      </x:c>
      <x:c r="D75" s="1"/>
      <x:c r="E75" s="1"/>
      <x:c r="F75" s="1"/>
      <x:c r="G75" s="36" t="n">
        <x:v>10</x:v>
      </x:c>
      <x:c r="H75" s="36" t="n">
        <x:v>40</x:v>
      </x:c>
      <x:c r="I75" s="36" t="n">
        <x:v>80</x:v>
      </x:c>
      <x:c r="J75" s="36" t="n">
        <x:v>130</x:v>
      </x:c>
      <x:c r="K75" s="36" t="n">
        <x:v>200</x:v>
      </x:c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</x:row>
    <x:row r="76" ht="21" customHeight="1">
      <x:c r="A76" s="1"/>
      <x:c r="B76" s="1"/>
      <x:c r="C76" s="1" t="str">
        <x:v>Base</x:v>
      </x:c>
      <x:c r="D76" s="1"/>
      <x:c r="E76" s="1"/>
      <x:c r="F76" s="1"/>
      <x:c r="G76" s="36" t="n">
        <x:v>40</x:v>
      </x:c>
      <x:c r="H76" s="36" t="n">
        <x:v>130</x:v>
      </x:c>
      <x:c r="I76" s="36" t="n">
        <x:v>250</x:v>
      </x:c>
      <x:c r="J76" s="36" t="n">
        <x:v>400</x:v>
      </x:c>
      <x:c r="K76" s="36" t="n">
        <x:v>600</x:v>
      </x:c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</x:row>
    <x:row r="77" ht="21" customHeight="1">
      <x:c r="A77" s="1"/>
      <x:c r="B77" s="1"/>
      <x:c r="C77" s="1" t="str">
        <x:v>Upside</x:v>
      </x:c>
      <x:c r="D77" s="1"/>
      <x:c r="E77" s="1"/>
      <x:c r="F77" s="1"/>
      <x:c r="G77" s="36" t="n">
        <x:v>100</x:v>
      </x:c>
      <x:c r="H77" s="36" t="n">
        <x:v>300</x:v>
      </x:c>
      <x:c r="I77" s="36" t="n">
        <x:v>650</x:v>
      </x:c>
      <x:c r="J77" s="36" t="n">
        <x:v>1100</x:v>
      </x:c>
      <x:c r="K77" s="36" t="n">
        <x:v>1600</x:v>
      </x:c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</x:row>
    <x:row r="78" ht="21" customHeight="1">
      <x:c r="A78" s="1"/>
      <x:c r="B78" s="1"/>
      <x:c r="C78" s="1" t="str">
        <x:v>Bank-supported</x:v>
      </x:c>
      <x:c r="D78" s="1"/>
      <x:c r="E78" s="1"/>
      <x:c r="F78" s="1"/>
      <x:c r="G78" s="36" t="n">
        <x:v>40</x:v>
      </x:c>
      <x:c r="H78" s="36" t="n">
        <x:v>130</x:v>
      </x:c>
      <x:c r="I78" s="36" t="n">
        <x:v>250</x:v>
      </x:c>
      <x:c r="J78" s="36" t="n">
        <x:v>400</x:v>
      </x:c>
      <x:c r="K78" s="36" t="n">
        <x:v>600</x:v>
      </x:c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</x:row>
    <x:row r="80" ht="21" customHeight="1">
      <x:c r="A80" s="1"/>
      <x:c r="B80" s="1"/>
      <x:c r="C80" s="23" t="str">
        <x:v>Average paid transaction principal — Active</x:v>
      </x:c>
      <x:c r="D80" s="23"/>
      <x:c r="E80" s="23"/>
      <x:c r="F80" s="23"/>
      <x:c r="G80" s="30" t="n">
        <x:f>CHOOSE($D$5,IF(ISNUMBER(G81),G81,"Missing input"),IF(ISNUMBER(G82),G82,"Missing input"),IF(ISNUMBER(G83),G83,"Missing input"),IF(ISNUMBER(G84),G84,"Missing input"))</x:f>
        <x:v>400</x:v>
      </x:c>
      <x:c r="H80" s="30" t="n">
        <x:f>CHOOSE($D$5,IF(ISNUMBER(H81),H81,"Missing input"),IF(ISNUMBER(H82),H82,"Missing input"),IF(ISNUMBER(H83),H83,"Missing input"),IF(ISNUMBER(H84),H84,"Missing input"))</x:f>
        <x:v>425</x:v>
      </x:c>
      <x:c r="I80" s="30" t="n">
        <x:f>CHOOSE($D$5,IF(ISNUMBER(I81),I81,"Missing input"),IF(ISNUMBER(I82),I82,"Missing input"),IF(ISNUMBER(I83),I83,"Missing input"),IF(ISNUMBER(I84),I84,"Missing input"))</x:f>
        <x:v>450</x:v>
      </x:c>
      <x:c r="J80" s="30" t="n">
        <x:f>CHOOSE($D$5,IF(ISNUMBER(J81),J81,"Missing input"),IF(ISNUMBER(J82),J82,"Missing input"),IF(ISNUMBER(J83),J83,"Missing input"),IF(ISNUMBER(J84),J84,"Missing input"))</x:f>
        <x:v>475</x:v>
      </x:c>
      <x:c r="K80" s="30" t="n">
        <x:f>CHOOSE($D$5,IF(ISNUMBER(K81),K81,"Missing input"),IF(ISNUMBER(K82),K82,"Missing input"),IF(ISNUMBER(K83),K83,"Missing input"),IF(ISNUMBER(K84),K84,"Missing input"))</x:f>
        <x:v>500</x:v>
      </x:c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</x:row>
    <x:row r="81" ht="21" customHeight="1">
      <x:c r="A81" s="1"/>
      <x:c r="B81" s="1"/>
      <x:c r="C81" s="1" t="str">
        <x:v>Downside</x:v>
      </x:c>
      <x:c r="D81" s="1"/>
      <x:c r="E81" s="1"/>
      <x:c r="F81" s="1"/>
      <x:c r="G81" s="10" t="n">
        <x:v>350</x:v>
      </x:c>
      <x:c r="H81" s="10" t="n">
        <x:v>350</x:v>
      </x:c>
      <x:c r="I81" s="10" t="n">
        <x:v>375</x:v>
      </x:c>
      <x:c r="J81" s="10" t="n">
        <x:v>375</x:v>
      </x:c>
      <x:c r="K81" s="10" t="n">
        <x:v>400</x:v>
      </x:c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</x:row>
    <x:row r="82" ht="21" customHeight="1">
      <x:c r="A82" s="1"/>
      <x:c r="B82" s="1"/>
      <x:c r="C82" s="1" t="str">
        <x:v>Base</x:v>
      </x:c>
      <x:c r="D82" s="1"/>
      <x:c r="E82" s="1"/>
      <x:c r="F82" s="1"/>
      <x:c r="G82" s="10" t="n">
        <x:v>400</x:v>
      </x:c>
      <x:c r="H82" s="10" t="n">
        <x:v>425</x:v>
      </x:c>
      <x:c r="I82" s="10" t="n">
        <x:v>450</x:v>
      </x:c>
      <x:c r="J82" s="10" t="n">
        <x:v>475</x:v>
      </x:c>
      <x:c r="K82" s="10" t="n">
        <x:v>500</x:v>
      </x:c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</x:row>
    <x:row r="83" ht="21" customHeight="1">
      <x:c r="A83" s="1"/>
      <x:c r="B83" s="1"/>
      <x:c r="C83" s="1" t="str">
        <x:v>Upside</x:v>
      </x:c>
      <x:c r="D83" s="1"/>
      <x:c r="E83" s="1"/>
      <x:c r="F83" s="1"/>
      <x:c r="G83" s="10" t="n">
        <x:v>450</x:v>
      </x:c>
      <x:c r="H83" s="10" t="n">
        <x:v>475</x:v>
      </x:c>
      <x:c r="I83" s="10" t="n">
        <x:v>500</x:v>
      </x:c>
      <x:c r="J83" s="10" t="n">
        <x:v>525</x:v>
      </x:c>
      <x:c r="K83" s="10" t="n">
        <x:v>550</x:v>
      </x:c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</x:row>
    <x:row r="84" ht="21" customHeight="1">
      <x:c r="A84" s="1"/>
      <x:c r="B84" s="1"/>
      <x:c r="C84" s="1" t="str">
        <x:v>Bank-supported</x:v>
      </x:c>
      <x:c r="D84" s="1"/>
      <x:c r="E84" s="1"/>
      <x:c r="F84" s="1"/>
      <x:c r="G84" s="10" t="n">
        <x:v>400</x:v>
      </x:c>
      <x:c r="H84" s="10" t="n">
        <x:v>425</x:v>
      </x:c>
      <x:c r="I84" s="10" t="n">
        <x:v>450</x:v>
      </x:c>
      <x:c r="J84" s="10" t="n">
        <x:v>475</x:v>
      </x:c>
      <x:c r="K84" s="10" t="n">
        <x:v>500</x:v>
      </x:c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</x:row>
    <x:row r="86" ht="21" customHeight="1">
      <x:c r="A86" s="1"/>
      <x:c r="B86" s="1"/>
      <x:c r="C86" s="23" t="str">
        <x:v>Monthly paid transactions / active customer — Active</x:v>
      </x:c>
      <x:c r="D86" s="23"/>
      <x:c r="E86" s="23"/>
      <x:c r="F86" s="23"/>
      <x:c r="G86" s="34" t="n">
        <x:f>CHOOSE($D$5,IF(ISNUMBER(G87),G87,"Missing input"),IF(ISNUMBER(G88),G88,"Missing input"),IF(ISNUMBER(G89),G89,"Missing input"),IF(ISNUMBER(G90),G90,"Missing input"))</x:f>
        <x:v>1.2</x:v>
      </x:c>
      <x:c r="H86" s="34" t="n">
        <x:f>CHOOSE($D$5,IF(ISNUMBER(H87),H87,"Missing input"),IF(ISNUMBER(H88),H88,"Missing input"),IF(ISNUMBER(H89),H89,"Missing input"),IF(ISNUMBER(H90),H90,"Missing input"))</x:f>
        <x:v>1.3</x:v>
      </x:c>
      <x:c r="I86" s="34" t="n">
        <x:f>CHOOSE($D$5,IF(ISNUMBER(I87),I87,"Missing input"),IF(ISNUMBER(I88),I88,"Missing input"),IF(ISNUMBER(I89),I89,"Missing input"),IF(ISNUMBER(I90),I90,"Missing input"))</x:f>
        <x:v>1.4</x:v>
      </x:c>
      <x:c r="J86" s="34" t="n">
        <x:f>CHOOSE($D$5,IF(ISNUMBER(J87),J87,"Missing input"),IF(ISNUMBER(J88),J88,"Missing input"),IF(ISNUMBER(J89),J89,"Missing input"),IF(ISNUMBER(J90),J90,"Missing input"))</x:f>
        <x:v>1.5</x:v>
      </x:c>
      <x:c r="K86" s="34" t="n">
        <x:f>CHOOSE($D$5,IF(ISNUMBER(K87),K87,"Missing input"),IF(ISNUMBER(K88),K88,"Missing input"),IF(ISNUMBER(K89),K89,"Missing input"),IF(ISNUMBER(K90),K90,"Missing input"))</x:f>
        <x:v>1.6</x:v>
      </x:c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</x:row>
    <x:row r="87" ht="21" customHeight="1">
      <x:c r="A87" s="1"/>
      <x:c r="B87" s="1"/>
      <x:c r="C87" s="1" t="str">
        <x:v>Downside</x:v>
      </x:c>
      <x:c r="D87" s="1"/>
      <x:c r="E87" s="1"/>
      <x:c r="F87" s="1"/>
      <x:c r="G87" s="32" t="n">
        <x:v>1</x:v>
      </x:c>
      <x:c r="H87" s="32" t="n">
        <x:v>1</x:v>
      </x:c>
      <x:c r="I87" s="32" t="n">
        <x:v>1.1</x:v>
      </x:c>
      <x:c r="J87" s="32" t="n">
        <x:v>1.1</x:v>
      </x:c>
      <x:c r="K87" s="32" t="n">
        <x:v>1.2</x:v>
      </x:c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</x:row>
    <x:row r="88" ht="21" customHeight="1">
      <x:c r="A88" s="1"/>
      <x:c r="B88" s="1"/>
      <x:c r="C88" s="1" t="str">
        <x:v>Base</x:v>
      </x:c>
      <x:c r="D88" s="1"/>
      <x:c r="E88" s="1"/>
      <x:c r="F88" s="1"/>
      <x:c r="G88" s="32" t="n">
        <x:v>1.2</x:v>
      </x:c>
      <x:c r="H88" s="32" t="n">
        <x:v>1.3</x:v>
      </x:c>
      <x:c r="I88" s="32" t="n">
        <x:v>1.4</x:v>
      </x:c>
      <x:c r="J88" s="32" t="n">
        <x:v>1.5</x:v>
      </x:c>
      <x:c r="K88" s="32" t="n">
        <x:v>1.6</x:v>
      </x:c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</x:row>
    <x:row r="89" ht="21" customHeight="1">
      <x:c r="A89" s="1"/>
      <x:c r="B89" s="1"/>
      <x:c r="C89" s="1" t="str">
        <x:v>Upside</x:v>
      </x:c>
      <x:c r="D89" s="1"/>
      <x:c r="E89" s="1"/>
      <x:c r="F89" s="1"/>
      <x:c r="G89" s="32" t="n">
        <x:v>1.4</x:v>
      </x:c>
      <x:c r="H89" s="32" t="n">
        <x:v>1.5</x:v>
      </x:c>
      <x:c r="I89" s="32" t="n">
        <x:v>1.6</x:v>
      </x:c>
      <x:c r="J89" s="32" t="n">
        <x:v>1.7</x:v>
      </x:c>
      <x:c r="K89" s="32" t="n">
        <x:v>1.8</x:v>
      </x:c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</x:row>
    <x:row r="90" ht="21" customHeight="1">
      <x:c r="A90" s="1"/>
      <x:c r="B90" s="1"/>
      <x:c r="C90" s="1" t="str">
        <x:v>Bank-supported</x:v>
      </x:c>
      <x:c r="D90" s="1"/>
      <x:c r="E90" s="1"/>
      <x:c r="F90" s="1"/>
      <x:c r="G90" s="32" t="n">
        <x:v>1.2</x:v>
      </x:c>
      <x:c r="H90" s="32" t="n">
        <x:v>1.3</x:v>
      </x:c>
      <x:c r="I90" s="32" t="n">
        <x:v>1.4</x:v>
      </x:c>
      <x:c r="J90" s="32" t="n">
        <x:v>1.5</x:v>
      </x:c>
      <x:c r="K90" s="32" t="n">
        <x:v>1.6</x:v>
      </x:c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</x:row>
    <x:row r="92" ht="21" customHeight="1">
      <x:c r="A92" s="1"/>
      <x:c r="B92" s="1"/>
      <x:c r="C92" s="23" t="str">
        <x:v>Gross percentage fee on principal — Active</x:v>
      </x:c>
      <x:c r="D92" s="23"/>
      <x:c r="E92" s="23"/>
      <x:c r="F92" s="23"/>
      <x:c r="G92" s="42" t="n">
        <x:f>CHOOSE($D$5,IF(ISNUMBER(G93),G93,"Missing input"),IF(ISNUMBER(G94),G94,"Missing input"),IF(ISNUMBER(G95),G95,"Missing input"),IF(ISNUMBER(G96),G96,"Missing input"))</x:f>
        <x:v>0.015</x:v>
      </x:c>
      <x:c r="H92" s="42" t="n">
        <x:f>CHOOSE($D$5,IF(ISNUMBER(H93),H93,"Missing input"),IF(ISNUMBER(H94),H94,"Missing input"),IF(ISNUMBER(H95),H95,"Missing input"),IF(ISNUMBER(H96),H96,"Missing input"))</x:f>
        <x:v>0.015</x:v>
      </x:c>
      <x:c r="I92" s="42" t="n">
        <x:f>CHOOSE($D$5,IF(ISNUMBER(I93),I93,"Missing input"),IF(ISNUMBER(I94),I94,"Missing input"),IF(ISNUMBER(I95),I95,"Missing input"),IF(ISNUMBER(I96),I96,"Missing input"))</x:f>
        <x:v>0.015</x:v>
      </x:c>
      <x:c r="J92" s="42" t="n">
        <x:f>CHOOSE($D$5,IF(ISNUMBER(J93),J93,"Missing input"),IF(ISNUMBER(J94),J94,"Missing input"),IF(ISNUMBER(J95),J95,"Missing input"),IF(ISNUMBER(J96),J96,"Missing input"))</x:f>
        <x:v>0.015</x:v>
      </x:c>
      <x:c r="K92" s="42" t="n">
        <x:f>CHOOSE($D$5,IF(ISNUMBER(K93),K93,"Missing input"),IF(ISNUMBER(K94),K94,"Missing input"),IF(ISNUMBER(K95),K95,"Missing input"),IF(ISNUMBER(K96),K96,"Missing input"))</x:f>
        <x:v>0.015</x:v>
      </x:c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</x:row>
    <x:row r="93" ht="21" customHeight="1">
      <x:c r="A93" s="1"/>
      <x:c r="B93" s="1"/>
      <x:c r="C93" s="1" t="str">
        <x:v>Downside</x:v>
      </x:c>
      <x:c r="D93" s="1"/>
      <x:c r="E93" s="1"/>
      <x:c r="F93" s="1"/>
      <x:c r="G93" s="40" t="n">
        <x:v>0.011</x:v>
      </x:c>
      <x:c r="H93" s="40" t="n">
        <x:v>0.011</x:v>
      </x:c>
      <x:c r="I93" s="40" t="n">
        <x:v>0.011</x:v>
      </x:c>
      <x:c r="J93" s="40" t="n">
        <x:v>0.011</x:v>
      </x:c>
      <x:c r="K93" s="40" t="n">
        <x:v>0.011</x:v>
      </x:c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</x:row>
    <x:row r="94" ht="21" customHeight="1">
      <x:c r="A94" s="1"/>
      <x:c r="B94" s="1"/>
      <x:c r="C94" s="1" t="str">
        <x:v>Base</x:v>
      </x:c>
      <x:c r="D94" s="1"/>
      <x:c r="E94" s="1"/>
      <x:c r="F94" s="1"/>
      <x:c r="G94" s="40" t="n">
        <x:v>0.015</x:v>
      </x:c>
      <x:c r="H94" s="40" t="n">
        <x:v>0.015</x:v>
      </x:c>
      <x:c r="I94" s="40" t="n">
        <x:v>0.015</x:v>
      </x:c>
      <x:c r="J94" s="40" t="n">
        <x:v>0.015</x:v>
      </x:c>
      <x:c r="K94" s="40" t="n">
        <x:v>0.015</x:v>
      </x:c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</x:row>
    <x:row r="95" ht="21" customHeight="1">
      <x:c r="A95" s="1"/>
      <x:c r="B95" s="1"/>
      <x:c r="C95" s="1" t="str">
        <x:v>Upside</x:v>
      </x:c>
      <x:c r="D95" s="1"/>
      <x:c r="E95" s="1"/>
      <x:c r="F95" s="1"/>
      <x:c r="G95" s="40" t="n">
        <x:v>0.017</x:v>
      </x:c>
      <x:c r="H95" s="40" t="n">
        <x:v>0.017</x:v>
      </x:c>
      <x:c r="I95" s="40" t="n">
        <x:v>0.017</x:v>
      </x:c>
      <x:c r="J95" s="40" t="n">
        <x:v>0.017</x:v>
      </x:c>
      <x:c r="K95" s="40" t="n">
        <x:v>0.017</x:v>
      </x:c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</x:row>
    <x:row r="96" ht="21" customHeight="1">
      <x:c r="A96" s="1"/>
      <x:c r="B96" s="1"/>
      <x:c r="C96" s="1" t="str">
        <x:v>Bank-supported</x:v>
      </x:c>
      <x:c r="D96" s="1"/>
      <x:c r="E96" s="1"/>
      <x:c r="F96" s="1"/>
      <x:c r="G96" s="40" t="n">
        <x:v>0.015</x:v>
      </x:c>
      <x:c r="H96" s="40" t="n">
        <x:v>0.015</x:v>
      </x:c>
      <x:c r="I96" s="40" t="n">
        <x:v>0.015</x:v>
      </x:c>
      <x:c r="J96" s="40" t="n">
        <x:v>0.015</x:v>
      </x:c>
      <x:c r="K96" s="40" t="n">
        <x:v>0.015</x:v>
      </x:c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</x:row>
    <x:row r="98" ht="21" customHeight="1">
      <x:c r="A98" s="1"/>
      <x:c r="B98" s="1"/>
      <x:c r="C98" s="23" t="str">
        <x:v>Gross fixed fee per paid transaction — Active</x:v>
      </x:c>
      <x:c r="D98" s="23"/>
      <x:c r="E98" s="23"/>
      <x:c r="F98" s="23"/>
      <x:c r="G98" s="46" t="n">
        <x:f>CHOOSE($D$5,IF(ISNUMBER(G99),G99,"Missing input"),IF(ISNUMBER(G100),G100,"Missing input"),IF(ISNUMBER(G101),G101,"Missing input"),IF(ISNUMBER(G102),G102,"Missing input"))</x:f>
        <x:v>3</x:v>
      </x:c>
      <x:c r="H98" s="46" t="n">
        <x:f>CHOOSE($D$5,IF(ISNUMBER(H99),H99,"Missing input"),IF(ISNUMBER(H100),H100,"Missing input"),IF(ISNUMBER(H101),H101,"Missing input"),IF(ISNUMBER(H102),H102,"Missing input"))</x:f>
        <x:v>3</x:v>
      </x:c>
      <x:c r="I98" s="46" t="n">
        <x:f>CHOOSE($D$5,IF(ISNUMBER(I99),I99,"Missing input"),IF(ISNUMBER(I100),I100,"Missing input"),IF(ISNUMBER(I101),I101,"Missing input"),IF(ISNUMBER(I102),I102,"Missing input"))</x:f>
        <x:v>3</x:v>
      </x:c>
      <x:c r="J98" s="46" t="n">
        <x:f>CHOOSE($D$5,IF(ISNUMBER(J99),J99,"Missing input"),IF(ISNUMBER(J100),J100,"Missing input"),IF(ISNUMBER(J101),J101,"Missing input"),IF(ISNUMBER(J102),J102,"Missing input"))</x:f>
        <x:v>3</x:v>
      </x:c>
      <x:c r="K98" s="46" t="n">
        <x:f>CHOOSE($D$5,IF(ISNUMBER(K99),K99,"Missing input"),IF(ISNUMBER(K100),K100,"Missing input"),IF(ISNUMBER(K101),K101,"Missing input"),IF(ISNUMBER(K102),K102,"Missing input"))</x:f>
        <x:v>3</x:v>
      </x:c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</x:row>
    <x:row r="99" ht="21" customHeight="1">
      <x:c r="A99" s="1"/>
      <x:c r="B99" s="1"/>
      <x:c r="C99" s="1" t="str">
        <x:v>Downside</x:v>
      </x:c>
      <x:c r="D99" s="1"/>
      <x:c r="E99" s="1"/>
      <x:c r="F99" s="1"/>
      <x:c r="G99" s="44" t="n">
        <x:v>2</x:v>
      </x:c>
      <x:c r="H99" s="44" t="n">
        <x:v>2</x:v>
      </x:c>
      <x:c r="I99" s="44" t="n">
        <x:v>2</x:v>
      </x:c>
      <x:c r="J99" s="44" t="n">
        <x:v>2</x:v>
      </x:c>
      <x:c r="K99" s="44" t="n">
        <x:v>2</x:v>
      </x:c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</x:row>
    <x:row r="100" ht="21" customHeight="1">
      <x:c r="A100" s="1"/>
      <x:c r="B100" s="1"/>
      <x:c r="C100" s="1" t="str">
        <x:v>Base</x:v>
      </x:c>
      <x:c r="D100" s="1"/>
      <x:c r="E100" s="1"/>
      <x:c r="F100" s="1"/>
      <x:c r="G100" s="44" t="n">
        <x:v>3</x:v>
      </x:c>
      <x:c r="H100" s="44" t="n">
        <x:v>3</x:v>
      </x:c>
      <x:c r="I100" s="44" t="n">
        <x:v>3</x:v>
      </x:c>
      <x:c r="J100" s="44" t="n">
        <x:v>3</x:v>
      </x:c>
      <x:c r="K100" s="44" t="n">
        <x:v>3</x:v>
      </x:c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</x:row>
    <x:row r="101" ht="21" customHeight="1">
      <x:c r="A101" s="1"/>
      <x:c r="B101" s="1"/>
      <x:c r="C101" s="1" t="str">
        <x:v>Upside</x:v>
      </x:c>
      <x:c r="D101" s="1"/>
      <x:c r="E101" s="1"/>
      <x:c r="F101" s="1"/>
      <x:c r="G101" s="44" t="n">
        <x:v>3</x:v>
      </x:c>
      <x:c r="H101" s="44" t="n">
        <x:v>3</x:v>
      </x:c>
      <x:c r="I101" s="44" t="n">
        <x:v>3</x:v>
      </x:c>
      <x:c r="J101" s="44" t="n">
        <x:v>3</x:v>
      </x:c>
      <x:c r="K101" s="44" t="n">
        <x:v>3</x:v>
      </x:c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</x:row>
    <x:row r="102" ht="21" customHeight="1">
      <x:c r="A102" s="1"/>
      <x:c r="B102" s="1"/>
      <x:c r="C102" s="1" t="str">
        <x:v>Bank-supported</x:v>
      </x:c>
      <x:c r="D102" s="1"/>
      <x:c r="E102" s="1"/>
      <x:c r="F102" s="1"/>
      <x:c r="G102" s="44" t="n">
        <x:v>3</x:v>
      </x:c>
      <x:c r="H102" s="44" t="n">
        <x:v>3</x:v>
      </x:c>
      <x:c r="I102" s="44" t="n">
        <x:v>3</x:v>
      </x:c>
      <x:c r="J102" s="44" t="n">
        <x:v>3</x:v>
      </x:c>
      <x:c r="K102" s="44" t="n">
        <x:v>3</x:v>
      </x:c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</x:row>
    <x:row r="104" ht="21" customHeight="1">
      <x:c r="A104" s="1"/>
      <x:c r="B104" s="1"/>
      <x:c r="C104" s="23" t="str">
        <x:v>Direct rails and execution cost / principal — Active</x:v>
      </x:c>
      <x:c r="D104" s="23"/>
      <x:c r="E104" s="23"/>
      <x:c r="F104" s="23"/>
      <x:c r="G104" s="42" t="n">
        <x:f>CHOOSE($D$5,IF(ISNUMBER(G105),G105,"Missing input"),IF(ISNUMBER(G106),G106,"Missing input"),IF(ISNUMBER(G107),G107,"Missing input"),IF(ISNUMBER(G108),G108,"Missing input"))</x:f>
        <x:v>0.0065</x:v>
      </x:c>
      <x:c r="H104" s="42" t="n">
        <x:f>CHOOSE($D$5,IF(ISNUMBER(H105),H105,"Missing input"),IF(ISNUMBER(H106),H106,"Missing input"),IF(ISNUMBER(H107),H107,"Missing input"),IF(ISNUMBER(H108),H108,"Missing input"))</x:f>
        <x:v>0.0065</x:v>
      </x:c>
      <x:c r="I104" s="42" t="n">
        <x:f>CHOOSE($D$5,IF(ISNUMBER(I105),I105,"Missing input"),IF(ISNUMBER(I106),I106,"Missing input"),IF(ISNUMBER(I107),I107,"Missing input"),IF(ISNUMBER(I108),I108,"Missing input"))</x:f>
        <x:v>0.0065</x:v>
      </x:c>
      <x:c r="J104" s="42" t="n">
        <x:f>CHOOSE($D$5,IF(ISNUMBER(J105),J105,"Missing input"),IF(ISNUMBER(J106),J106,"Missing input"),IF(ISNUMBER(J107),J107,"Missing input"),IF(ISNUMBER(J108),J108,"Missing input"))</x:f>
        <x:v>0.0065</x:v>
      </x:c>
      <x:c r="K104" s="42" t="n">
        <x:f>CHOOSE($D$5,IF(ISNUMBER(K105),K105,"Missing input"),IF(ISNUMBER(K106),K106,"Missing input"),IF(ISNUMBER(K107),K107,"Missing input"),IF(ISNUMBER(K108),K108,"Missing input"))</x:f>
        <x:v>0.0065</x:v>
      </x:c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</x:row>
    <x:row r="105" ht="21" customHeight="1">
      <x:c r="A105" s="1"/>
      <x:c r="B105" s="1"/>
      <x:c r="C105" s="1" t="str">
        <x:v>Downside</x:v>
      </x:c>
      <x:c r="D105" s="1"/>
      <x:c r="E105" s="1"/>
      <x:c r="F105" s="1"/>
      <x:c r="G105" s="40" t="n">
        <x:v>0.0075</x:v>
      </x:c>
      <x:c r="H105" s="40" t="n">
        <x:v>0.0075</x:v>
      </x:c>
      <x:c r="I105" s="40" t="n">
        <x:v>0.0075</x:v>
      </x:c>
      <x:c r="J105" s="40" t="n">
        <x:v>0.0075</x:v>
      </x:c>
      <x:c r="K105" s="40" t="n">
        <x:v>0.0075</x:v>
      </x:c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</x:row>
    <x:row r="106" ht="21" customHeight="1">
      <x:c r="A106" s="1"/>
      <x:c r="B106" s="1"/>
      <x:c r="C106" s="1" t="str">
        <x:v>Base</x:v>
      </x:c>
      <x:c r="D106" s="1"/>
      <x:c r="E106" s="1"/>
      <x:c r="F106" s="1"/>
      <x:c r="G106" s="40" t="n">
        <x:v>0.0065</x:v>
      </x:c>
      <x:c r="H106" s="40" t="n">
        <x:v>0.0065</x:v>
      </x:c>
      <x:c r="I106" s="40" t="n">
        <x:v>0.0065</x:v>
      </x:c>
      <x:c r="J106" s="40" t="n">
        <x:v>0.0065</x:v>
      </x:c>
      <x:c r="K106" s="40" t="n">
        <x:v>0.0065</x:v>
      </x:c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</x:row>
    <x:row r="107" ht="21" customHeight="1">
      <x:c r="A107" s="1"/>
      <x:c r="B107" s="1"/>
      <x:c r="C107" s="1" t="str">
        <x:v>Upside</x:v>
      </x:c>
      <x:c r="D107" s="1"/>
      <x:c r="E107" s="1"/>
      <x:c r="F107" s="1"/>
      <x:c r="G107" s="40" t="n">
        <x:v>0.006</x:v>
      </x:c>
      <x:c r="H107" s="40" t="n">
        <x:v>0.006</x:v>
      </x:c>
      <x:c r="I107" s="40" t="n">
        <x:v>0.006</x:v>
      </x:c>
      <x:c r="J107" s="40" t="n">
        <x:v>0.006</x:v>
      </x:c>
      <x:c r="K107" s="40" t="n">
        <x:v>0.006</x:v>
      </x:c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</x:row>
    <x:row r="108" ht="21" customHeight="1">
      <x:c r="A108" s="1"/>
      <x:c r="B108" s="1"/>
      <x:c r="C108" s="1" t="str">
        <x:v>Bank-supported</x:v>
      </x:c>
      <x:c r="D108" s="1"/>
      <x:c r="E108" s="1"/>
      <x:c r="F108" s="1"/>
      <x:c r="G108" s="40" t="n">
        <x:v>0.0065</x:v>
      </x:c>
      <x:c r="H108" s="40" t="n">
        <x:v>0.0065</x:v>
      </x:c>
      <x:c r="I108" s="40" t="n">
        <x:v>0.0065</x:v>
      </x:c>
      <x:c r="J108" s="40" t="n">
        <x:v>0.0065</x:v>
      </x:c>
      <x:c r="K108" s="40" t="n">
        <x:v>0.0065</x:v>
      </x:c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</x:row>
    <x:row r="110" ht="21" customHeight="1">
      <x:c r="A110" s="1"/>
      <x:c r="B110" s="1"/>
      <x:c r="C110" s="23" t="str">
        <x:v>Direct fulfillment cost / transaction — Active</x:v>
      </x:c>
      <x:c r="D110" s="23"/>
      <x:c r="E110" s="23"/>
      <x:c r="F110" s="23"/>
      <x:c r="G110" s="46" t="n">
        <x:f>CHOOSE($D$5,IF(ISNUMBER(G111),G111,"Missing input"),IF(ISNUMBER(G112),G112,"Missing input"),IF(ISNUMBER(G113),G113,"Missing input"),IF(ISNUMBER(G114),G114,"Missing input"))</x:f>
        <x:v>1.25</x:v>
      </x:c>
      <x:c r="H110" s="46" t="n">
        <x:f>CHOOSE($D$5,IF(ISNUMBER(H111),H111,"Missing input"),IF(ISNUMBER(H112),H112,"Missing input"),IF(ISNUMBER(H113),H113,"Missing input"),IF(ISNUMBER(H114),H114,"Missing input"))</x:f>
        <x:v>1.25</x:v>
      </x:c>
      <x:c r="I110" s="46" t="n">
        <x:f>CHOOSE($D$5,IF(ISNUMBER(I111),I111,"Missing input"),IF(ISNUMBER(I112),I112,"Missing input"),IF(ISNUMBER(I113),I113,"Missing input"),IF(ISNUMBER(I114),I114,"Missing input"))</x:f>
        <x:v>1.25</x:v>
      </x:c>
      <x:c r="J110" s="46" t="n">
        <x:f>CHOOSE($D$5,IF(ISNUMBER(J111),J111,"Missing input"),IF(ISNUMBER(J112),J112,"Missing input"),IF(ISNUMBER(J113),J113,"Missing input"),IF(ISNUMBER(J114),J114,"Missing input"))</x:f>
        <x:v>1.25</x:v>
      </x:c>
      <x:c r="K110" s="46" t="n">
        <x:f>CHOOSE($D$5,IF(ISNUMBER(K111),K111,"Missing input"),IF(ISNUMBER(K112),K112,"Missing input"),IF(ISNUMBER(K113),K113,"Missing input"),IF(ISNUMBER(K114),K114,"Missing input"))</x:f>
        <x:v>1.25</x:v>
      </x:c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</x:row>
    <x:row r="111" ht="21" customHeight="1">
      <x:c r="A111" s="1"/>
      <x:c r="B111" s="1"/>
      <x:c r="C111" s="1" t="str">
        <x:v>Downside</x:v>
      </x:c>
      <x:c r="D111" s="1"/>
      <x:c r="E111" s="1"/>
      <x:c r="F111" s="1"/>
      <x:c r="G111" s="44" t="n">
        <x:v>1.5</x:v>
      </x:c>
      <x:c r="H111" s="44" t="n">
        <x:v>1.5</x:v>
      </x:c>
      <x:c r="I111" s="44" t="n">
        <x:v>1.5</x:v>
      </x:c>
      <x:c r="J111" s="44" t="n">
        <x:v>1.5</x:v>
      </x:c>
      <x:c r="K111" s="44" t="n">
        <x:v>1.5</x:v>
      </x:c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</x:row>
    <x:row r="112" ht="21" customHeight="1">
      <x:c r="A112" s="1"/>
      <x:c r="B112" s="1"/>
      <x:c r="C112" s="1" t="str">
        <x:v>Base</x:v>
      </x:c>
      <x:c r="D112" s="1"/>
      <x:c r="E112" s="1"/>
      <x:c r="F112" s="1"/>
      <x:c r="G112" s="44" t="n">
        <x:v>1.25</x:v>
      </x:c>
      <x:c r="H112" s="44" t="n">
        <x:v>1.25</x:v>
      </x:c>
      <x:c r="I112" s="44" t="n">
        <x:v>1.25</x:v>
      </x:c>
      <x:c r="J112" s="44" t="n">
        <x:v>1.25</x:v>
      </x:c>
      <x:c r="K112" s="44" t="n">
        <x:v>1.25</x:v>
      </x:c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</x:row>
    <x:row r="113" ht="21" customHeight="1">
      <x:c r="A113" s="1"/>
      <x:c r="B113" s="1"/>
      <x:c r="C113" s="1" t="str">
        <x:v>Upside</x:v>
      </x:c>
      <x:c r="D113" s="1"/>
      <x:c r="E113" s="1"/>
      <x:c r="F113" s="1"/>
      <x:c r="G113" s="44" t="n">
        <x:v>1.1</x:v>
      </x:c>
      <x:c r="H113" s="44" t="n">
        <x:v>1.1</x:v>
      </x:c>
      <x:c r="I113" s="44" t="n">
        <x:v>1.1</x:v>
      </x:c>
      <x:c r="J113" s="44" t="n">
        <x:v>1.1</x:v>
      </x:c>
      <x:c r="K113" s="44" t="n">
        <x:v>1.1</x:v>
      </x:c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</x:row>
    <x:row r="114" ht="21" customHeight="1">
      <x:c r="A114" s="1"/>
      <x:c r="B114" s="1"/>
      <x:c r="C114" s="1" t="str">
        <x:v>Bank-supported</x:v>
      </x:c>
      <x:c r="D114" s="1"/>
      <x:c r="E114" s="1"/>
      <x:c r="F114" s="1"/>
      <x:c r="G114" s="44" t="n">
        <x:v>1.25</x:v>
      </x:c>
      <x:c r="H114" s="44" t="n">
        <x:v>1.25</x:v>
      </x:c>
      <x:c r="I114" s="44" t="n">
        <x:v>1.25</x:v>
      </x:c>
      <x:c r="J114" s="44" t="n">
        <x:v>1.25</x:v>
      </x:c>
      <x:c r="K114" s="44" t="n">
        <x:v>1.25</x:v>
      </x:c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</x:row>
    <x:row r="116" ht="21" customHeight="1">
      <x:c r="A116" s="1"/>
      <x:c r="B116" s="1"/>
      <x:c r="C116" s="23" t="str">
        <x:v>Fraud and FX-loss allowance / principal — Active</x:v>
      </x:c>
      <x:c r="D116" s="23"/>
      <x:c r="E116" s="23"/>
      <x:c r="F116" s="23"/>
      <x:c r="G116" s="42" t="n">
        <x:f>CHOOSE($D$5,IF(ISNUMBER(G117),G117,"Missing input"),IF(ISNUMBER(G118),G118,"Missing input"),IF(ISNUMBER(G119),G119,"Missing input"),IF(ISNUMBER(G120),G120,"Missing input"))</x:f>
        <x:v>0.001</x:v>
      </x:c>
      <x:c r="H116" s="42" t="n">
        <x:f>CHOOSE($D$5,IF(ISNUMBER(H117),H117,"Missing input"),IF(ISNUMBER(H118),H118,"Missing input"),IF(ISNUMBER(H119),H119,"Missing input"),IF(ISNUMBER(H120),H120,"Missing input"))</x:f>
        <x:v>0.001</x:v>
      </x:c>
      <x:c r="I116" s="42" t="n">
        <x:f>CHOOSE($D$5,IF(ISNUMBER(I117),I117,"Missing input"),IF(ISNUMBER(I118),I118,"Missing input"),IF(ISNUMBER(I119),I119,"Missing input"),IF(ISNUMBER(I120),I120,"Missing input"))</x:f>
        <x:v>0.001</x:v>
      </x:c>
      <x:c r="J116" s="42" t="n">
        <x:f>CHOOSE($D$5,IF(ISNUMBER(J117),J117,"Missing input"),IF(ISNUMBER(J118),J118,"Missing input"),IF(ISNUMBER(J119),J119,"Missing input"),IF(ISNUMBER(J120),J120,"Missing input"))</x:f>
        <x:v>0.001</x:v>
      </x:c>
      <x:c r="K116" s="42" t="n">
        <x:f>CHOOSE($D$5,IF(ISNUMBER(K117),K117,"Missing input"),IF(ISNUMBER(K118),K118,"Missing input"),IF(ISNUMBER(K119),K119,"Missing input"),IF(ISNUMBER(K120),K120,"Missing input"))</x:f>
        <x:v>0.001</x:v>
      </x:c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</x:row>
    <x:row r="117" ht="21" customHeight="1">
      <x:c r="A117" s="1"/>
      <x:c r="B117" s="1"/>
      <x:c r="C117" s="1" t="str">
        <x:v>Downside</x:v>
      </x:c>
      <x:c r="D117" s="1"/>
      <x:c r="E117" s="1"/>
      <x:c r="F117" s="1"/>
      <x:c r="G117" s="40" t="n">
        <x:v>0.002</x:v>
      </x:c>
      <x:c r="H117" s="40" t="n">
        <x:v>0.002</x:v>
      </x:c>
      <x:c r="I117" s="40" t="n">
        <x:v>0.002</x:v>
      </x:c>
      <x:c r="J117" s="40" t="n">
        <x:v>0.002</x:v>
      </x:c>
      <x:c r="K117" s="40" t="n">
        <x:v>0.002</x:v>
      </x:c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</x:row>
    <x:row r="118" ht="21" customHeight="1">
      <x:c r="A118" s="1"/>
      <x:c r="B118" s="1"/>
      <x:c r="C118" s="1" t="str">
        <x:v>Base</x:v>
      </x:c>
      <x:c r="D118" s="1"/>
      <x:c r="E118" s="1"/>
      <x:c r="F118" s="1"/>
      <x:c r="G118" s="40" t="n">
        <x:v>0.001</x:v>
      </x:c>
      <x:c r="H118" s="40" t="n">
        <x:v>0.001</x:v>
      </x:c>
      <x:c r="I118" s="40" t="n">
        <x:v>0.001</x:v>
      </x:c>
      <x:c r="J118" s="40" t="n">
        <x:v>0.001</x:v>
      </x:c>
      <x:c r="K118" s="40" t="n">
        <x:v>0.001</x:v>
      </x:c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</x:row>
    <x:row r="119" ht="21" customHeight="1">
      <x:c r="A119" s="1"/>
      <x:c r="B119" s="1"/>
      <x:c r="C119" s="1" t="str">
        <x:v>Upside</x:v>
      </x:c>
      <x:c r="D119" s="1"/>
      <x:c r="E119" s="1"/>
      <x:c r="F119" s="1"/>
      <x:c r="G119" s="40" t="n">
        <x:v>0.0008</x:v>
      </x:c>
      <x:c r="H119" s="40" t="n">
        <x:v>0.0008</x:v>
      </x:c>
      <x:c r="I119" s="40" t="n">
        <x:v>0.0008</x:v>
      </x:c>
      <x:c r="J119" s="40" t="n">
        <x:v>0.0008</x:v>
      </x:c>
      <x:c r="K119" s="40" t="n">
        <x:v>0.0008</x:v>
      </x:c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</x:row>
    <x:row r="120" ht="21" customHeight="1">
      <x:c r="A120" s="1"/>
      <x:c r="B120" s="1"/>
      <x:c r="C120" s="1" t="str">
        <x:v>Bank-supported</x:v>
      </x:c>
      <x:c r="D120" s="1"/>
      <x:c r="E120" s="1"/>
      <x:c r="F120" s="1"/>
      <x:c r="G120" s="40" t="n">
        <x:v>0.001</x:v>
      </x:c>
      <x:c r="H120" s="40" t="n">
        <x:v>0.001</x:v>
      </x:c>
      <x:c r="I120" s="40" t="n">
        <x:v>0.001</x:v>
      </x:c>
      <x:c r="J120" s="40" t="n">
        <x:v>0.001</x:v>
      </x:c>
      <x:c r="K120" s="40" t="n">
        <x:v>0.001</x:v>
      </x:c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</x:row>
    <x:row r="122" ht="21" customHeight="1">
      <x:c r="A122" s="1"/>
      <x:c r="B122" s="1"/>
      <x:c r="C122" s="23" t="str">
        <x:v>Monthly business service fee — Active</x:v>
      </x:c>
      <x:c r="D122" s="23"/>
      <x:c r="E122" s="23"/>
      <x:c r="F122" s="23"/>
      <x:c r="G122" s="30" t="n">
        <x:f>CHOOSE($D$5,IF(ISNUMBER(G123),G123,"Missing input"),IF(ISNUMBER(G124),G124,"Missing input"),IF(ISNUMBER(G125),G125,"Missing input"),IF(ISNUMBER(G126),G126,"Missing input"))</x:f>
        <x:v>40</x:v>
      </x:c>
      <x:c r="H122" s="30" t="n">
        <x:f>CHOOSE($D$5,IF(ISNUMBER(H123),H123,"Missing input"),IF(ISNUMBER(H124),H124,"Missing input"),IF(ISNUMBER(H125),H125,"Missing input"),IF(ISNUMBER(H126),H126,"Missing input"))</x:f>
        <x:v>40</x:v>
      </x:c>
      <x:c r="I122" s="30" t="n">
        <x:f>CHOOSE($D$5,IF(ISNUMBER(I123),I123,"Missing input"),IF(ISNUMBER(I124),I124,"Missing input"),IF(ISNUMBER(I125),I125,"Missing input"),IF(ISNUMBER(I126),I126,"Missing input"))</x:f>
        <x:v>40</x:v>
      </x:c>
      <x:c r="J122" s="30" t="n">
        <x:f>CHOOSE($D$5,IF(ISNUMBER(J123),J123,"Missing input"),IF(ISNUMBER(J124),J124,"Missing input"),IF(ISNUMBER(J125),J125,"Missing input"),IF(ISNUMBER(J126),J126,"Missing input"))</x:f>
        <x:v>40</x:v>
      </x:c>
      <x:c r="K122" s="30" t="n">
        <x:f>CHOOSE($D$5,IF(ISNUMBER(K123),K123,"Missing input"),IF(ISNUMBER(K124),K124,"Missing input"),IF(ISNUMBER(K125),K125,"Missing input"),IF(ISNUMBER(K126),K126,"Missing input"))</x:f>
        <x:v>40</x:v>
      </x:c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</x:row>
    <x:row r="123" ht="21" customHeight="1">
      <x:c r="A123" s="1"/>
      <x:c r="B123" s="1"/>
      <x:c r="C123" s="1" t="str">
        <x:v>Downside</x:v>
      </x:c>
      <x:c r="D123" s="1"/>
      <x:c r="E123" s="1"/>
      <x:c r="F123" s="1"/>
      <x:c r="G123" s="10" t="n">
        <x:v>30</x:v>
      </x:c>
      <x:c r="H123" s="10" t="n">
        <x:v>30</x:v>
      </x:c>
      <x:c r="I123" s="10" t="n">
        <x:v>30</x:v>
      </x:c>
      <x:c r="J123" s="10" t="n">
        <x:v>30</x:v>
      </x:c>
      <x:c r="K123" s="10" t="n">
        <x:v>30</x:v>
      </x:c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</x:row>
    <x:row r="124" ht="21" customHeight="1">
      <x:c r="A124" s="1"/>
      <x:c r="B124" s="1"/>
      <x:c r="C124" s="1" t="str">
        <x:v>Base</x:v>
      </x:c>
      <x:c r="D124" s="1"/>
      <x:c r="E124" s="1"/>
      <x:c r="F124" s="1"/>
      <x:c r="G124" s="10" t="n">
        <x:v>40</x:v>
      </x:c>
      <x:c r="H124" s="10" t="n">
        <x:v>40</x:v>
      </x:c>
      <x:c r="I124" s="10" t="n">
        <x:v>40</x:v>
      </x:c>
      <x:c r="J124" s="10" t="n">
        <x:v>40</x:v>
      </x:c>
      <x:c r="K124" s="10" t="n">
        <x:v>40</x:v>
      </x:c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</x:row>
    <x:row r="125" ht="21" customHeight="1">
      <x:c r="A125" s="1"/>
      <x:c r="B125" s="1"/>
      <x:c r="C125" s="1" t="str">
        <x:v>Upside</x:v>
      </x:c>
      <x:c r="D125" s="1"/>
      <x:c r="E125" s="1"/>
      <x:c r="F125" s="1"/>
      <x:c r="G125" s="10" t="n">
        <x:v>40</x:v>
      </x:c>
      <x:c r="H125" s="10" t="n">
        <x:v>40</x:v>
      </x:c>
      <x:c r="I125" s="10" t="n">
        <x:v>40</x:v>
      </x:c>
      <x:c r="J125" s="10" t="n">
        <x:v>40</x:v>
      </x:c>
      <x:c r="K125" s="10" t="n">
        <x:v>40</x:v>
      </x:c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</x:row>
    <x:row r="126" ht="21" customHeight="1">
      <x:c r="A126" s="1"/>
      <x:c r="B126" s="1"/>
      <x:c r="C126" s="1" t="str">
        <x:v>Bank-supported</x:v>
      </x:c>
      <x:c r="D126" s="1"/>
      <x:c r="E126" s="1"/>
      <x:c r="F126" s="1"/>
      <x:c r="G126" s="10" t="n">
        <x:v>40</x:v>
      </x:c>
      <x:c r="H126" s="10" t="n">
        <x:v>40</x:v>
      </x:c>
      <x:c r="I126" s="10" t="n">
        <x:v>40</x:v>
      </x:c>
      <x:c r="J126" s="10" t="n">
        <x:v>40</x:v>
      </x:c>
      <x:c r="K126" s="10" t="n">
        <x:v>40</x:v>
      </x:c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</x:row>
    <x:row r="128" ht="21" customHeight="1">
      <x:c r="A128" s="1"/>
      <x:c r="B128" s="1"/>
      <x:c r="C128" s="23" t="str">
        <x:v>Monthly fixed operating cash cost — Active</x:v>
      </x:c>
      <x:c r="D128" s="23"/>
      <x:c r="E128" s="23"/>
      <x:c r="F128" s="23"/>
      <x:c r="G128" s="30" t="n">
        <x:f>CHOOSE($D$5,IF(ISNUMBER(G129),G129,"Missing input"),IF(ISNUMBER(G130),G130,"Missing input"),IF(ISNUMBER(G131),G131,"Missing input"),IF(ISNUMBER(G132),G132,"Missing input"))</x:f>
        <x:v>30000</x:v>
      </x:c>
      <x:c r="H128" s="30" t="n">
        <x:f>CHOOSE($D$5,IF(ISNUMBER(H129),H129,"Missing input"),IF(ISNUMBER(H130),H130,"Missing input"),IF(ISNUMBER(H131),H131,"Missing input"),IF(ISNUMBER(H132),H132,"Missing input"))</x:f>
        <x:v>40000</x:v>
      </x:c>
      <x:c r="I128" s="30" t="n">
        <x:f>CHOOSE($D$5,IF(ISNUMBER(I129),I129,"Missing input"),IF(ISNUMBER(I130),I130,"Missing input"),IF(ISNUMBER(I131),I131,"Missing input"),IF(ISNUMBER(I132),I132,"Missing input"))</x:f>
        <x:v>50000</x:v>
      </x:c>
      <x:c r="J128" s="30" t="n">
        <x:f>CHOOSE($D$5,IF(ISNUMBER(J129),J129,"Missing input"),IF(ISNUMBER(J130),J130,"Missing input"),IF(ISNUMBER(J131),J131,"Missing input"),IF(ISNUMBER(J132),J132,"Missing input"))</x:f>
        <x:v>60000</x:v>
      </x:c>
      <x:c r="K128" s="30" t="n">
        <x:f>CHOOSE($D$5,IF(ISNUMBER(K129),K129,"Missing input"),IF(ISNUMBER(K130),K130,"Missing input"),IF(ISNUMBER(K131),K131,"Missing input"),IF(ISNUMBER(K132),K132,"Missing input"))</x:f>
        <x:v>70000</x:v>
      </x:c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</x:row>
    <x:row r="129" ht="21" customHeight="1">
      <x:c r="A129" s="1"/>
      <x:c r="B129" s="1"/>
      <x:c r="C129" s="1" t="str">
        <x:v>Downside</x:v>
      </x:c>
      <x:c r="D129" s="1"/>
      <x:c r="E129" s="1"/>
      <x:c r="F129" s="1"/>
      <x:c r="G129" s="10" t="n">
        <x:v>30000</x:v>
      </x:c>
      <x:c r="H129" s="10" t="n">
        <x:v>38000</x:v>
      </x:c>
      <x:c r="I129" s="10" t="n">
        <x:v>45000</x:v>
      </x:c>
      <x:c r="J129" s="10" t="n">
        <x:v>50000</x:v>
      </x:c>
      <x:c r="K129" s="10" t="n">
        <x:v>55000</x:v>
      </x:c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</x:row>
    <x:row r="130" ht="21" customHeight="1">
      <x:c r="A130" s="1"/>
      <x:c r="B130" s="1"/>
      <x:c r="C130" s="1" t="str">
        <x:v>Base</x:v>
      </x:c>
      <x:c r="D130" s="1"/>
      <x:c r="E130" s="1"/>
      <x:c r="F130" s="1"/>
      <x:c r="G130" s="10" t="n">
        <x:v>30000</x:v>
      </x:c>
      <x:c r="H130" s="10" t="n">
        <x:v>40000</x:v>
      </x:c>
      <x:c r="I130" s="10" t="n">
        <x:v>50000</x:v>
      </x:c>
      <x:c r="J130" s="10" t="n">
        <x:v>60000</x:v>
      </x:c>
      <x:c r="K130" s="10" t="n">
        <x:v>70000</x:v>
      </x:c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</x:row>
    <x:row r="131" ht="21" customHeight="1">
      <x:c r="A131" s="1"/>
      <x:c r="B131" s="1"/>
      <x:c r="C131" s="1" t="str">
        <x:v>Upside</x:v>
      </x:c>
      <x:c r="D131" s="1"/>
      <x:c r="E131" s="1"/>
      <x:c r="F131" s="1"/>
      <x:c r="G131" s="10" t="n">
        <x:v>35000</x:v>
      </x:c>
      <x:c r="H131" s="10" t="n">
        <x:v>50000</x:v>
      </x:c>
      <x:c r="I131" s="10" t="n">
        <x:v>70000</x:v>
      </x:c>
      <x:c r="J131" s="10" t="n">
        <x:v>100000</x:v>
      </x:c>
      <x:c r="K131" s="10" t="n">
        <x:v>130000</x:v>
      </x:c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</x:row>
    <x:row r="132" ht="21" customHeight="1">
      <x:c r="A132" s="1"/>
      <x:c r="B132" s="1"/>
      <x:c r="C132" s="1" t="str">
        <x:v>Bank-supported</x:v>
      </x:c>
      <x:c r="D132" s="1"/>
      <x:c r="E132" s="1"/>
      <x:c r="F132" s="1"/>
      <x:c r="G132" s="10" t="n">
        <x:v>20000</x:v>
      </x:c>
      <x:c r="H132" s="10" t="n">
        <x:v>25000</x:v>
      </x:c>
      <x:c r="I132" s="10" t="n">
        <x:v>35000</x:v>
      </x:c>
      <x:c r="J132" s="10" t="n">
        <x:v>45000</x:v>
      </x:c>
      <x:c r="K132" s="10" t="n">
        <x:v>55000</x:v>
      </x:c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</x:row>
  </x:sheetData>
  <x:dataValidations count="1">
    <x:dataValidation type="whole" operator="between" sqref="D5">
      <x:formula1>1</x:formula1>
      <x:formula2>4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</x:row>
    <x:row r="2" ht="21" customHeight="1">
      <x:c r="A2" s="1"/>
      <x:c r="B2" s="1"/>
      <x:c r="C2" s="2" t="str">
        <x:v>Monthly forecast (USD)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</x:row>
    <x:row r="3" ht="21" customHeight="1">
      <x:c r="A3" s="1"/>
      <x:c r="B3" s="1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</x:row>
    <x:row r="5" ht="21" customHeight="1">
      <x:c r="A5" s="1"/>
      <x:c r="B5" s="1"/>
      <x:c r="C5" s="1" t="str">
        <x:v>Case selected:</x:v>
      </x:c>
      <x:c r="D5" s="8" t="str">
        <x:f>CHOOSE('Assumptions'!$D$5,"Downside","Base","Upside","Bank-supported")</x:f>
        <x:v>Base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</x:row>
    <x:row r="7" ht="26" customHeight="1">
      <x:c r="A7" s="1"/>
      <x:c r="B7" s="1"/>
      <x:c r="C7" s="1" t="str">
        <x:v>Month from funding</x:v>
      </x:c>
      <x:c r="D7" s="18" t="n">
        <x:v>1</x:v>
      </x:c>
      <x:c r="E7" s="18" t="n">
        <x:v>2</x:v>
      </x:c>
      <x:c r="F7" s="18" t="n">
        <x:v>3</x:v>
      </x:c>
      <x:c r="G7" s="18" t="n">
        <x:v>4</x:v>
      </x:c>
      <x:c r="H7" s="18" t="n">
        <x:v>5</x:v>
      </x:c>
      <x:c r="I7" s="18" t="n">
        <x:v>6</x:v>
      </x:c>
      <x:c r="J7" s="18" t="n">
        <x:v>7</x:v>
      </x:c>
      <x:c r="K7" s="18" t="n">
        <x:v>8</x:v>
      </x:c>
      <x:c r="L7" s="18" t="n">
        <x:v>9</x:v>
      </x:c>
      <x:c r="M7" s="18" t="n">
        <x:v>10</x:v>
      </x:c>
      <x:c r="N7" s="18" t="n">
        <x:v>11</x:v>
      </x:c>
      <x:c r="O7" s="18" t="n">
        <x:v>12</x:v>
      </x:c>
      <x:c r="P7" s="18" t="n">
        <x:v>13</x:v>
      </x:c>
      <x:c r="Q7" s="18" t="n">
        <x:v>14</x:v>
      </x:c>
      <x:c r="R7" s="18" t="n">
        <x:v>15</x:v>
      </x:c>
      <x:c r="S7" s="18" t="n">
        <x:v>16</x:v>
      </x:c>
      <x:c r="T7" s="18" t="n">
        <x:v>17</x:v>
      </x:c>
      <x:c r="U7" s="18" t="n">
        <x:v>18</x:v>
      </x:c>
      <x:c r="V7" s="18" t="n">
        <x:v>19</x:v>
      </x:c>
      <x:c r="W7" s="18" t="n">
        <x:v>20</x:v>
      </x:c>
      <x:c r="X7" s="18" t="n">
        <x:v>21</x:v>
      </x:c>
      <x:c r="Y7" s="18" t="n">
        <x:v>22</x:v>
      </x:c>
      <x:c r="Z7" s="18" t="n">
        <x:v>23</x:v>
      </x:c>
      <x:c r="AA7" s="18" t="n">
        <x:v>24</x:v>
      </x:c>
      <x:c r="AB7" s="18" t="n">
        <x:v>25</x:v>
      </x:c>
      <x:c r="AC7" s="18" t="n">
        <x:v>26</x:v>
      </x:c>
      <x:c r="AD7" s="18" t="n">
        <x:v>27</x:v>
      </x:c>
      <x:c r="AE7" s="18" t="n">
        <x:v>28</x:v>
      </x:c>
      <x:c r="AF7" s="18" t="n">
        <x:v>29</x:v>
      </x:c>
      <x:c r="AG7" s="18" t="n">
        <x:v>30</x:v>
      </x:c>
      <x:c r="AH7" s="18" t="n">
        <x:v>31</x:v>
      </x:c>
      <x:c r="AI7" s="18" t="n">
        <x:v>32</x:v>
      </x:c>
      <x:c r="AJ7" s="18" t="n">
        <x:v>33</x:v>
      </x:c>
      <x:c r="AK7" s="18" t="n">
        <x:v>34</x:v>
      </x:c>
      <x:c r="AL7" s="18" t="n">
        <x:v>35</x:v>
      </x:c>
      <x:c r="AM7" s="18" t="n">
        <x:v>36</x:v>
      </x:c>
      <x:c r="AN7" s="18" t="n">
        <x:v>37</x:v>
      </x:c>
      <x:c r="AO7" s="18" t="n">
        <x:v>38</x:v>
      </x:c>
      <x:c r="AP7" s="18" t="n">
        <x:v>39</x:v>
      </x:c>
      <x:c r="AQ7" s="18" t="n">
        <x:v>40</x:v>
      </x:c>
      <x:c r="AR7" s="18" t="n">
        <x:v>41</x:v>
      </x:c>
      <x:c r="AS7" s="18" t="n">
        <x:v>42</x:v>
      </x:c>
      <x:c r="AT7" s="18" t="n">
        <x:v>43</x:v>
      </x:c>
      <x:c r="AU7" s="18" t="n">
        <x:v>44</x:v>
      </x:c>
      <x:c r="AV7" s="18" t="n">
        <x:v>45</x:v>
      </x:c>
      <x:c r="AW7" s="18" t="n">
        <x:v>46</x:v>
      </x:c>
      <x:c r="AX7" s="18" t="n">
        <x:v>47</x:v>
      </x:c>
      <x:c r="AY7" s="18" t="n">
        <x:v>48</x:v>
      </x:c>
      <x:c r="AZ7" s="18" t="n">
        <x:v>49</x:v>
      </x:c>
      <x:c r="BA7" s="18" t="n">
        <x:v>50</x:v>
      </x:c>
      <x:c r="BB7" s="18" t="n">
        <x:v>51</x:v>
      </x:c>
      <x:c r="BC7" s="18" t="n">
        <x:v>52</x:v>
      </x:c>
      <x:c r="BD7" s="18" t="n">
        <x:v>53</x:v>
      </x:c>
      <x:c r="BE7" s="18" t="n">
        <x:v>54</x:v>
      </x:c>
      <x:c r="BF7" s="18" t="n">
        <x:v>55</x:v>
      </x:c>
      <x:c r="BG7" s="18" t="n">
        <x:v>56</x:v>
      </x:c>
      <x:c r="BH7" s="18" t="n">
        <x:v>57</x:v>
      </x:c>
      <x:c r="BI7" s="18" t="n">
        <x:v>58</x:v>
      </x:c>
      <x:c r="BJ7" s="18" t="n">
        <x:v>59</x:v>
      </x:c>
      <x:c r="BK7" s="18" t="n">
        <x:v>60</x:v>
      </x:c>
      <x:c r="BL7" s="1"/>
    </x:row>
    <x:row r="8" ht="26" customHeight="1">
      <x:c r="A8" s="1"/>
      <x:c r="B8" s="1"/>
      <x:c r="C8" s="1" t="str">
        <x:v>Funding year</x:v>
      </x:c>
      <x:c r="D8" s="18" t="n">
        <x:v>1</x:v>
      </x:c>
      <x:c r="E8" s="18" t="n">
        <x:v>1</x:v>
      </x:c>
      <x:c r="F8" s="18" t="n">
        <x:v>1</x:v>
      </x:c>
      <x:c r="G8" s="18" t="n">
        <x:v>1</x:v>
      </x:c>
      <x:c r="H8" s="18" t="n">
        <x:v>1</x:v>
      </x:c>
      <x:c r="I8" s="18" t="n">
        <x:v>1</x:v>
      </x:c>
      <x:c r="J8" s="18" t="n">
        <x:v>1</x:v>
      </x:c>
      <x:c r="K8" s="18" t="n">
        <x:v>1</x:v>
      </x:c>
      <x:c r="L8" s="18" t="n">
        <x:v>1</x:v>
      </x:c>
      <x:c r="M8" s="18" t="n">
        <x:v>1</x:v>
      </x:c>
      <x:c r="N8" s="18" t="n">
        <x:v>1</x:v>
      </x:c>
      <x:c r="O8" s="18" t="n">
        <x:v>1</x:v>
      </x:c>
      <x:c r="P8" s="18" t="n">
        <x:v>2</x:v>
      </x:c>
      <x:c r="Q8" s="18" t="n">
        <x:v>2</x:v>
      </x:c>
      <x:c r="R8" s="18" t="n">
        <x:v>2</x:v>
      </x:c>
      <x:c r="S8" s="18" t="n">
        <x:v>2</x:v>
      </x:c>
      <x:c r="T8" s="18" t="n">
        <x:v>2</x:v>
      </x:c>
      <x:c r="U8" s="18" t="n">
        <x:v>2</x:v>
      </x:c>
      <x:c r="V8" s="18" t="n">
        <x:v>2</x:v>
      </x:c>
      <x:c r="W8" s="18" t="n">
        <x:v>2</x:v>
      </x:c>
      <x:c r="X8" s="18" t="n">
        <x:v>2</x:v>
      </x:c>
      <x:c r="Y8" s="18" t="n">
        <x:v>2</x:v>
      </x:c>
      <x:c r="Z8" s="18" t="n">
        <x:v>2</x:v>
      </x:c>
      <x:c r="AA8" s="18" t="n">
        <x:v>2</x:v>
      </x:c>
      <x:c r="AB8" s="18" t="n">
        <x:v>3</x:v>
      </x:c>
      <x:c r="AC8" s="18" t="n">
        <x:v>3</x:v>
      </x:c>
      <x:c r="AD8" s="18" t="n">
        <x:v>3</x:v>
      </x:c>
      <x:c r="AE8" s="18" t="n">
        <x:v>3</x:v>
      </x:c>
      <x:c r="AF8" s="18" t="n">
        <x:v>3</x:v>
      </x:c>
      <x:c r="AG8" s="18" t="n">
        <x:v>3</x:v>
      </x:c>
      <x:c r="AH8" s="18" t="n">
        <x:v>3</x:v>
      </x:c>
      <x:c r="AI8" s="18" t="n">
        <x:v>3</x:v>
      </x:c>
      <x:c r="AJ8" s="18" t="n">
        <x:v>3</x:v>
      </x:c>
      <x:c r="AK8" s="18" t="n">
        <x:v>3</x:v>
      </x:c>
      <x:c r="AL8" s="18" t="n">
        <x:v>3</x:v>
      </x:c>
      <x:c r="AM8" s="18" t="n">
        <x:v>3</x:v>
      </x:c>
      <x:c r="AN8" s="18" t="n">
        <x:v>4</x:v>
      </x:c>
      <x:c r="AO8" s="18" t="n">
        <x:v>4</x:v>
      </x:c>
      <x:c r="AP8" s="18" t="n">
        <x:v>4</x:v>
      </x:c>
      <x:c r="AQ8" s="18" t="n">
        <x:v>4</x:v>
      </x:c>
      <x:c r="AR8" s="18" t="n">
        <x:v>4</x:v>
      </x:c>
      <x:c r="AS8" s="18" t="n">
        <x:v>4</x:v>
      </x:c>
      <x:c r="AT8" s="18" t="n">
        <x:v>4</x:v>
      </x:c>
      <x:c r="AU8" s="18" t="n">
        <x:v>4</x:v>
      </x:c>
      <x:c r="AV8" s="18" t="n">
        <x:v>4</x:v>
      </x:c>
      <x:c r="AW8" s="18" t="n">
        <x:v>4</x:v>
      </x:c>
      <x:c r="AX8" s="18" t="n">
        <x:v>4</x:v>
      </x:c>
      <x:c r="AY8" s="18" t="n">
        <x:v>4</x:v>
      </x:c>
      <x:c r="AZ8" s="18" t="n">
        <x:v>5</x:v>
      </x:c>
      <x:c r="BA8" s="18" t="n">
        <x:v>5</x:v>
      </x:c>
      <x:c r="BB8" s="18" t="n">
        <x:v>5</x:v>
      </x:c>
      <x:c r="BC8" s="18" t="n">
        <x:v>5</x:v>
      </x:c>
      <x:c r="BD8" s="18" t="n">
        <x:v>5</x:v>
      </x:c>
      <x:c r="BE8" s="18" t="n">
        <x:v>5</x:v>
      </x:c>
      <x:c r="BF8" s="18" t="n">
        <x:v>5</x:v>
      </x:c>
      <x:c r="BG8" s="18" t="n">
        <x:v>5</x:v>
      </x:c>
      <x:c r="BH8" s="18" t="n">
        <x:v>5</x:v>
      </x:c>
      <x:c r="BI8" s="18" t="n">
        <x:v>5</x:v>
      </x:c>
      <x:c r="BJ8" s="18" t="n">
        <x:v>5</x:v>
      </x:c>
      <x:c r="BK8" s="18" t="n">
        <x:v>5</x:v>
      </x:c>
      <x:c r="BL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</x:row>
    <x:row r="10" ht="21" customHeight="1">
      <x:c r="A10" s="1"/>
      <x:c r="B10" s="1"/>
      <x:c r="C10" s="1" t="str">
        <x:v>Closing active transacting customers</x:v>
      </x:c>
      <x:c r="D10" s="48" t="n">
        <x:f>'Assumptions'!$G$68*MAX(0,(D$7-'Assumptions'!$D$20+1)/(13-'Assumptions'!$D$20))</x:f>
        <x:v>0</x:v>
      </x:c>
      <x:c r="E10" s="48" t="n">
        <x:f>'Assumptions'!$G$68*MAX(0,(E$7-'Assumptions'!$D$20+1)/(13-'Assumptions'!$D$20))</x:f>
        <x:v>0</x:v>
      </x:c>
      <x:c r="F10" s="48" t="n">
        <x:f>'Assumptions'!$G$68*MAX(0,(F$7-'Assumptions'!$D$20+1)/(13-'Assumptions'!$D$20))</x:f>
        <x:v>0</x:v>
      </x:c>
      <x:c r="G10" s="48" t="n">
        <x:f>'Assumptions'!$G$68*MAX(0,(G$7-'Assumptions'!$D$20+1)/(13-'Assumptions'!$D$20))</x:f>
        <x:v>0</x:v>
      </x:c>
      <x:c r="H10" s="48" t="n">
        <x:f>'Assumptions'!$G$68*MAX(0,(H$7-'Assumptions'!$D$20+1)/(13-'Assumptions'!$D$20))</x:f>
        <x:v>0</x:v>
      </x:c>
      <x:c r="I10" s="48" t="n">
        <x:f>'Assumptions'!$G$68*MAX(0,(I$7-'Assumptions'!$D$20+1)/(13-'Assumptions'!$D$20))</x:f>
        <x:v>428.57142857142856</x:v>
      </x:c>
      <x:c r="J10" s="48" t="n">
        <x:f>'Assumptions'!$G$68*MAX(0,(J$7-'Assumptions'!$D$20+1)/(13-'Assumptions'!$D$20))</x:f>
        <x:v>857.1428571428571</x:v>
      </x:c>
      <x:c r="K10" s="48" t="n">
        <x:f>'Assumptions'!$G$68*MAX(0,(K$7-'Assumptions'!$D$20+1)/(13-'Assumptions'!$D$20))</x:f>
        <x:v>1285.7142857142856</x:v>
      </x:c>
      <x:c r="L10" s="48" t="n">
        <x:f>'Assumptions'!$G$68*MAX(0,(L$7-'Assumptions'!$D$20+1)/(13-'Assumptions'!$D$20))</x:f>
        <x:v>1714.2857142857142</x:v>
      </x:c>
      <x:c r="M10" s="48" t="n">
        <x:f>'Assumptions'!$G$68*MAX(0,(M$7-'Assumptions'!$D$20+1)/(13-'Assumptions'!$D$20))</x:f>
        <x:v>2142.857142857143</x:v>
      </x:c>
      <x:c r="N10" s="48" t="n">
        <x:f>'Assumptions'!$G$68*MAX(0,(N$7-'Assumptions'!$D$20+1)/(13-'Assumptions'!$D$20))</x:f>
        <x:v>2571.428571428571</x:v>
      </x:c>
      <x:c r="O10" s="48" t="n">
        <x:f>'Assumptions'!$G$68*MAX(0,(O$7-'Assumptions'!$D$20+1)/(13-'Assumptions'!$D$20))</x:f>
        <x:v>3000</x:v>
      </x:c>
      <x:c r="P10" s="48" t="n">
        <x:f>'Assumptions'!$G$68+('Assumptions'!$H$68-'Assumptions'!$G$68)*1/12</x:f>
        <x:v>3458.3333333333335</x:v>
      </x:c>
      <x:c r="Q10" s="48" t="n">
        <x:f>'Assumptions'!$G$68+('Assumptions'!$H$68-'Assumptions'!$G$68)*2/12</x:f>
        <x:v>3916.6666666666665</x:v>
      </x:c>
      <x:c r="R10" s="48" t="n">
        <x:f>'Assumptions'!$G$68+('Assumptions'!$H$68-'Assumptions'!$G$68)*3/12</x:f>
        <x:v>4375</x:v>
      </x:c>
      <x:c r="S10" s="48" t="n">
        <x:f>'Assumptions'!$G$68+('Assumptions'!$H$68-'Assumptions'!$G$68)*4/12</x:f>
        <x:v>4833.333333333333</x:v>
      </x:c>
      <x:c r="T10" s="48" t="n">
        <x:f>'Assumptions'!$G$68+('Assumptions'!$H$68-'Assumptions'!$G$68)*5/12</x:f>
        <x:v>5291.666666666666</x:v>
      </x:c>
      <x:c r="U10" s="48" t="n">
        <x:f>'Assumptions'!$G$68+('Assumptions'!$H$68-'Assumptions'!$G$68)*6/12</x:f>
        <x:v>5750</x:v>
      </x:c>
      <x:c r="V10" s="48" t="n">
        <x:f>'Assumptions'!$G$68+('Assumptions'!$H$68-'Assumptions'!$G$68)*7/12</x:f>
        <x:v>6208.333333333334</x:v>
      </x:c>
      <x:c r="W10" s="48" t="n">
        <x:f>'Assumptions'!$G$68+('Assumptions'!$H$68-'Assumptions'!$G$68)*8/12</x:f>
        <x:v>6666.666666666666</x:v>
      </x:c>
      <x:c r="X10" s="48" t="n">
        <x:f>'Assumptions'!$G$68+('Assumptions'!$H$68-'Assumptions'!$G$68)*9/12</x:f>
        <x:v>7125</x:v>
      </x:c>
      <x:c r="Y10" s="48" t="n">
        <x:f>'Assumptions'!$G$68+('Assumptions'!$H$68-'Assumptions'!$G$68)*10/12</x:f>
        <x:v>7583.333333333333</x:v>
      </x:c>
      <x:c r="Z10" s="48" t="n">
        <x:f>'Assumptions'!$G$68+('Assumptions'!$H$68-'Assumptions'!$G$68)*11/12</x:f>
        <x:v>8041.666666666667</x:v>
      </x:c>
      <x:c r="AA10" s="48" t="n">
        <x:f>'Assumptions'!$G$68+('Assumptions'!$H$68-'Assumptions'!$G$68)*12/12</x:f>
        <x:v>8500</x:v>
      </x:c>
      <x:c r="AB10" s="48" t="n">
        <x:f>'Assumptions'!$H$68+('Assumptions'!$I$68-'Assumptions'!$H$68)*1/12</x:f>
        <x:v>8958.333333333334</x:v>
      </x:c>
      <x:c r="AC10" s="48" t="n">
        <x:f>'Assumptions'!$H$68+('Assumptions'!$I$68-'Assumptions'!$H$68)*2/12</x:f>
        <x:v>9416.666666666666</x:v>
      </x:c>
      <x:c r="AD10" s="48" t="n">
        <x:f>'Assumptions'!$H$68+('Assumptions'!$I$68-'Assumptions'!$H$68)*3/12</x:f>
        <x:v>9875</x:v>
      </x:c>
      <x:c r="AE10" s="48" t="n">
        <x:f>'Assumptions'!$H$68+('Assumptions'!$I$68-'Assumptions'!$H$68)*4/12</x:f>
        <x:v>10333.333333333334</x:v>
      </x:c>
      <x:c r="AF10" s="48" t="n">
        <x:f>'Assumptions'!$H$68+('Assumptions'!$I$68-'Assumptions'!$H$68)*5/12</x:f>
        <x:v>10791.666666666666</x:v>
      </x:c>
      <x:c r="AG10" s="48" t="n">
        <x:f>'Assumptions'!$H$68+('Assumptions'!$I$68-'Assumptions'!$H$68)*6/12</x:f>
        <x:v>11250</x:v>
      </x:c>
      <x:c r="AH10" s="48" t="n">
        <x:f>'Assumptions'!$H$68+('Assumptions'!$I$68-'Assumptions'!$H$68)*7/12</x:f>
        <x:v>11708.333333333334</x:v>
      </x:c>
      <x:c r="AI10" s="48" t="n">
        <x:f>'Assumptions'!$H$68+('Assumptions'!$I$68-'Assumptions'!$H$68)*8/12</x:f>
        <x:v>12166.666666666666</x:v>
      </x:c>
      <x:c r="AJ10" s="48" t="n">
        <x:f>'Assumptions'!$H$68+('Assumptions'!$I$68-'Assumptions'!$H$68)*9/12</x:f>
        <x:v>12625</x:v>
      </x:c>
      <x:c r="AK10" s="48" t="n">
        <x:f>'Assumptions'!$H$68+('Assumptions'!$I$68-'Assumptions'!$H$68)*10/12</x:f>
        <x:v>13083.333333333332</x:v>
      </x:c>
      <x:c r="AL10" s="48" t="n">
        <x:f>'Assumptions'!$H$68+('Assumptions'!$I$68-'Assumptions'!$H$68)*11/12</x:f>
        <x:v>13541.666666666668</x:v>
      </x:c>
      <x:c r="AM10" s="48" t="n">
        <x:f>'Assumptions'!$H$68+('Assumptions'!$I$68-'Assumptions'!$H$68)*12/12</x:f>
        <x:v>14000</x:v>
      </x:c>
      <x:c r="AN10" s="48" t="n">
        <x:f>'Assumptions'!$I$68+('Assumptions'!$J$68-'Assumptions'!$I$68)*1/12</x:f>
        <x:v>14583.333333333334</x:v>
      </x:c>
      <x:c r="AO10" s="48" t="n">
        <x:f>'Assumptions'!$I$68+('Assumptions'!$J$68-'Assumptions'!$I$68)*2/12</x:f>
        <x:v>15166.666666666666</x:v>
      </x:c>
      <x:c r="AP10" s="48" t="n">
        <x:f>'Assumptions'!$I$68+('Assumptions'!$J$68-'Assumptions'!$I$68)*3/12</x:f>
        <x:v>15750</x:v>
      </x:c>
      <x:c r="AQ10" s="48" t="n">
        <x:f>'Assumptions'!$I$68+('Assumptions'!$J$68-'Assumptions'!$I$68)*4/12</x:f>
        <x:v>16333.333333333334</x:v>
      </x:c>
      <x:c r="AR10" s="48" t="n">
        <x:f>'Assumptions'!$I$68+('Assumptions'!$J$68-'Assumptions'!$I$68)*5/12</x:f>
        <x:v>16916.666666666668</x:v>
      </x:c>
      <x:c r="AS10" s="48" t="n">
        <x:f>'Assumptions'!$I$68+('Assumptions'!$J$68-'Assumptions'!$I$68)*6/12</x:f>
        <x:v>17500</x:v>
      </x:c>
      <x:c r="AT10" s="48" t="n">
        <x:f>'Assumptions'!$I$68+('Assumptions'!$J$68-'Assumptions'!$I$68)*7/12</x:f>
        <x:v>18083.333333333332</x:v>
      </x:c>
      <x:c r="AU10" s="48" t="n">
        <x:f>'Assumptions'!$I$68+('Assumptions'!$J$68-'Assumptions'!$I$68)*8/12</x:f>
        <x:v>18666.666666666668</x:v>
      </x:c>
      <x:c r="AV10" s="48" t="n">
        <x:f>'Assumptions'!$I$68+('Assumptions'!$J$68-'Assumptions'!$I$68)*9/12</x:f>
        <x:v>19250</x:v>
      </x:c>
      <x:c r="AW10" s="48" t="n">
        <x:f>'Assumptions'!$I$68+('Assumptions'!$J$68-'Assumptions'!$I$68)*10/12</x:f>
        <x:v>19833.333333333332</x:v>
      </x:c>
      <x:c r="AX10" s="48" t="n">
        <x:f>'Assumptions'!$I$68+('Assumptions'!$J$68-'Assumptions'!$I$68)*11/12</x:f>
        <x:v>20416.666666666668</x:v>
      </x:c>
      <x:c r="AY10" s="48" t="n">
        <x:f>'Assumptions'!$I$68+('Assumptions'!$J$68-'Assumptions'!$I$68)*12/12</x:f>
        <x:v>21000</x:v>
      </x:c>
      <x:c r="AZ10" s="48" t="n">
        <x:f>'Assumptions'!$J$68+('Assumptions'!$K$68-'Assumptions'!$J$68)*1/12</x:f>
        <x:v>21666.666666666668</x:v>
      </x:c>
      <x:c r="BA10" s="48" t="n">
        <x:f>'Assumptions'!$J$68+('Assumptions'!$K$68-'Assumptions'!$J$68)*2/12</x:f>
        <x:v>22333.333333333332</x:v>
      </x:c>
      <x:c r="BB10" s="48" t="n">
        <x:f>'Assumptions'!$J$68+('Assumptions'!$K$68-'Assumptions'!$J$68)*3/12</x:f>
        <x:v>23000</x:v>
      </x:c>
      <x:c r="BC10" s="48" t="n">
        <x:f>'Assumptions'!$J$68+('Assumptions'!$K$68-'Assumptions'!$J$68)*4/12</x:f>
        <x:v>23666.666666666668</x:v>
      </x:c>
      <x:c r="BD10" s="48" t="n">
        <x:f>'Assumptions'!$J$68+('Assumptions'!$K$68-'Assumptions'!$J$68)*5/12</x:f>
        <x:v>24333.333333333332</x:v>
      </x:c>
      <x:c r="BE10" s="48" t="n">
        <x:f>'Assumptions'!$J$68+('Assumptions'!$K$68-'Assumptions'!$J$68)*6/12</x:f>
        <x:v>25000</x:v>
      </x:c>
      <x:c r="BF10" s="48" t="n">
        <x:f>'Assumptions'!$J$68+('Assumptions'!$K$68-'Assumptions'!$J$68)*7/12</x:f>
        <x:v>25666.666666666668</x:v>
      </x:c>
      <x:c r="BG10" s="48" t="n">
        <x:f>'Assumptions'!$J$68+('Assumptions'!$K$68-'Assumptions'!$J$68)*8/12</x:f>
        <x:v>26333.333333333332</x:v>
      </x:c>
      <x:c r="BH10" s="48" t="n">
        <x:f>'Assumptions'!$J$68+('Assumptions'!$K$68-'Assumptions'!$J$68)*9/12</x:f>
        <x:v>27000</x:v>
      </x:c>
      <x:c r="BI10" s="48" t="n">
        <x:f>'Assumptions'!$J$68+('Assumptions'!$K$68-'Assumptions'!$J$68)*10/12</x:f>
        <x:v>27666.666666666668</x:v>
      </x:c>
      <x:c r="BJ10" s="48" t="n">
        <x:f>'Assumptions'!$J$68+('Assumptions'!$K$68-'Assumptions'!$J$68)*11/12</x:f>
        <x:v>28333.333333333332</x:v>
      </x:c>
      <x:c r="BK10" s="48" t="n">
        <x:f>'Assumptions'!$J$68+('Assumptions'!$K$68-'Assumptions'!$J$68)*12/12</x:f>
        <x:v>29000</x:v>
      </x:c>
      <x:c r="BL10" s="1"/>
    </x:row>
    <x:row r="11" ht="21" customHeight="1">
      <x:c r="A11" s="1"/>
      <x:c r="B11" s="1"/>
      <x:c r="C11" s="1" t="str">
        <x:v>Average active transacting customers</x:v>
      </x:c>
      <x:c r="D11" s="49" t="n">
        <x:f>(0+D10)/2</x:f>
        <x:v>0</x:v>
      </x:c>
      <x:c r="E11" s="49" t="n">
        <x:f>(D10+E10)/2</x:f>
        <x:v>0</x:v>
      </x:c>
      <x:c r="F11" s="49" t="n">
        <x:f>(E10+F10)/2</x:f>
        <x:v>0</x:v>
      </x:c>
      <x:c r="G11" s="49" t="n">
        <x:f>(F10+G10)/2</x:f>
        <x:v>0</x:v>
      </x:c>
      <x:c r="H11" s="49" t="n">
        <x:f>(G10+H10)/2</x:f>
        <x:v>0</x:v>
      </x:c>
      <x:c r="I11" s="49" t="n">
        <x:f>(H10+I10)/2</x:f>
        <x:v>214.28571428571428</x:v>
      </x:c>
      <x:c r="J11" s="49" t="n">
        <x:f>(I10+J10)/2</x:f>
        <x:v>642.8571428571429</x:v>
      </x:c>
      <x:c r="K11" s="49" t="n">
        <x:f>(J10+K10)/2</x:f>
        <x:v>1071.4285714285713</x:v>
      </x:c>
      <x:c r="L11" s="49" t="n">
        <x:f>(K10+L10)/2</x:f>
        <x:v>1500</x:v>
      </x:c>
      <x:c r="M11" s="49" t="n">
        <x:f>(L10+M10)/2</x:f>
        <x:v>1928.5714285714287</x:v>
      </x:c>
      <x:c r="N11" s="49" t="n">
        <x:f>(M10+N10)/2</x:f>
        <x:v>2357.142857142857</x:v>
      </x:c>
      <x:c r="O11" s="49" t="n">
        <x:f>(N10+O10)/2</x:f>
        <x:v>2785.7142857142853</x:v>
      </x:c>
      <x:c r="P11" s="49" t="n">
        <x:f>(O10+P10)/2</x:f>
        <x:v>3229.166666666667</x:v>
      </x:c>
      <x:c r="Q11" s="49" t="n">
        <x:f>(P10+Q10)/2</x:f>
        <x:v>3687.5</x:v>
      </x:c>
      <x:c r="R11" s="49" t="n">
        <x:f>(Q10+R10)/2</x:f>
        <x:v>4145.833333333333</x:v>
      </x:c>
      <x:c r="S11" s="49" t="n">
        <x:f>(R10+S10)/2</x:f>
        <x:v>4604.166666666666</x:v>
      </x:c>
      <x:c r="T11" s="49" t="n">
        <x:f>(S10+T10)/2</x:f>
        <x:v>5062.5</x:v>
      </x:c>
      <x:c r="U11" s="49" t="n">
        <x:f>(T10+U10)/2</x:f>
        <x:v>5520.833333333333</x:v>
      </x:c>
      <x:c r="V11" s="49" t="n">
        <x:f>(U10+V10)/2</x:f>
        <x:v>5979.166666666667</x:v>
      </x:c>
      <x:c r="W11" s="49" t="n">
        <x:f>(V10+W10)/2</x:f>
        <x:v>6437.5</x:v>
      </x:c>
      <x:c r="X11" s="49" t="n">
        <x:f>(W10+X10)/2</x:f>
        <x:v>6895.833333333333</x:v>
      </x:c>
      <x:c r="Y11" s="49" t="n">
        <x:f>(X10+Y10)/2</x:f>
        <x:v>7354.166666666666</x:v>
      </x:c>
      <x:c r="Z11" s="49" t="n">
        <x:f>(Y10+Z10)/2</x:f>
        <x:v>7812.5</x:v>
      </x:c>
      <x:c r="AA11" s="49" t="n">
        <x:f>(Z10+AA10)/2</x:f>
        <x:v>8270.833333333334</x:v>
      </x:c>
      <x:c r="AB11" s="49" t="n">
        <x:f>(AA10+AB10)/2</x:f>
        <x:v>8729.166666666668</x:v>
      </x:c>
      <x:c r="AC11" s="49" t="n">
        <x:f>(AB10+AC10)/2</x:f>
        <x:v>9187.5</x:v>
      </x:c>
      <x:c r="AD11" s="49" t="n">
        <x:f>(AC10+AD10)/2</x:f>
        <x:v>9645.833333333332</x:v>
      </x:c>
      <x:c r="AE11" s="49" t="n">
        <x:f>(AD10+AE10)/2</x:f>
        <x:v>10104.166666666668</x:v>
      </x:c>
      <x:c r="AF11" s="49" t="n">
        <x:f>(AE10+AF10)/2</x:f>
        <x:v>10562.5</x:v>
      </x:c>
      <x:c r="AG11" s="49" t="n">
        <x:f>(AF10+AG10)/2</x:f>
        <x:v>11020.833333333332</x:v>
      </x:c>
      <x:c r="AH11" s="49" t="n">
        <x:f>(AG10+AH10)/2</x:f>
        <x:v>11479.166666666668</x:v>
      </x:c>
      <x:c r="AI11" s="49" t="n">
        <x:f>(AH10+AI10)/2</x:f>
        <x:v>11937.5</x:v>
      </x:c>
      <x:c r="AJ11" s="49" t="n">
        <x:f>(AI10+AJ10)/2</x:f>
        <x:v>12395.833333333332</x:v>
      </x:c>
      <x:c r="AK11" s="49" t="n">
        <x:f>(AJ10+AK10)/2</x:f>
        <x:v>12854.166666666666</x:v>
      </x:c>
      <x:c r="AL11" s="49" t="n">
        <x:f>(AK10+AL10)/2</x:f>
        <x:v>13312.5</x:v>
      </x:c>
      <x:c r="AM11" s="49" t="n">
        <x:f>(AL10+AM10)/2</x:f>
        <x:v>13770.833333333334</x:v>
      </x:c>
      <x:c r="AN11" s="49" t="n">
        <x:f>(AM10+AN10)/2</x:f>
        <x:v>14291.666666666668</x:v>
      </x:c>
      <x:c r="AO11" s="49" t="n">
        <x:f>(AN10+AO10)/2</x:f>
        <x:v>14875</x:v>
      </x:c>
      <x:c r="AP11" s="49" t="n">
        <x:f>(AO10+AP10)/2</x:f>
        <x:v>15458.333333333332</x:v>
      </x:c>
      <x:c r="AQ11" s="49" t="n">
        <x:f>(AP10+AQ10)/2</x:f>
        <x:v>16041.666666666668</x:v>
      </x:c>
      <x:c r="AR11" s="49" t="n">
        <x:f>(AQ10+AR10)/2</x:f>
        <x:v>16625</x:v>
      </x:c>
      <x:c r="AS11" s="49" t="n">
        <x:f>(AR10+AS10)/2</x:f>
        <x:v>17208.333333333336</x:v>
      </x:c>
      <x:c r="AT11" s="49" t="n">
        <x:f>(AS10+AT10)/2</x:f>
        <x:v>17791.666666666664</x:v>
      </x:c>
      <x:c r="AU11" s="49" t="n">
        <x:f>(AT10+AU10)/2</x:f>
        <x:v>18375</x:v>
      </x:c>
      <x:c r="AV11" s="49" t="n">
        <x:f>(AU10+AV10)/2</x:f>
        <x:v>18958.333333333336</x:v>
      </x:c>
      <x:c r="AW11" s="49" t="n">
        <x:f>(AV10+AW10)/2</x:f>
        <x:v>19541.666666666664</x:v>
      </x:c>
      <x:c r="AX11" s="49" t="n">
        <x:f>(AW10+AX10)/2</x:f>
        <x:v>20125</x:v>
      </x:c>
      <x:c r="AY11" s="49" t="n">
        <x:f>(AX10+AY10)/2</x:f>
        <x:v>20708.333333333336</x:v>
      </x:c>
      <x:c r="AZ11" s="49" t="n">
        <x:f>(AY10+AZ10)/2</x:f>
        <x:v>21333.333333333336</x:v>
      </x:c>
      <x:c r="BA11" s="49" t="n">
        <x:f>(AZ10+BA10)/2</x:f>
        <x:v>22000</x:v>
      </x:c>
      <x:c r="BB11" s="49" t="n">
        <x:f>(BA10+BB10)/2</x:f>
        <x:v>22666.666666666664</x:v>
      </x:c>
      <x:c r="BC11" s="49" t="n">
        <x:f>(BB10+BC10)/2</x:f>
        <x:v>23333.333333333336</x:v>
      </x:c>
      <x:c r="BD11" s="49" t="n">
        <x:f>(BC10+BD10)/2</x:f>
        <x:v>24000</x:v>
      </x:c>
      <x:c r="BE11" s="49" t="n">
        <x:f>(BD10+BE10)/2</x:f>
        <x:v>24666.666666666664</x:v>
      </x:c>
      <x:c r="BF11" s="49" t="n">
        <x:f>(BE10+BF10)/2</x:f>
        <x:v>25333.333333333336</x:v>
      </x:c>
      <x:c r="BG11" s="49" t="n">
        <x:f>(BF10+BG10)/2</x:f>
        <x:v>26000</x:v>
      </x:c>
      <x:c r="BH11" s="49" t="n">
        <x:f>(BG10+BH10)/2</x:f>
        <x:v>26666.666666666664</x:v>
      </x:c>
      <x:c r="BI11" s="49" t="n">
        <x:f>(BH10+BI10)/2</x:f>
        <x:v>27333.333333333336</x:v>
      </x:c>
      <x:c r="BJ11" s="49" t="n">
        <x:f>(BI10+BJ10)/2</x:f>
        <x:v>28000</x:v>
      </x:c>
      <x:c r="BK11" s="49" t="n">
        <x:f>(BJ10+BK10)/2</x:f>
        <x:v>28666.666666666664</x:v>
      </x:c>
      <x:c r="BL11" s="1"/>
    </x:row>
    <x:row r="12" ht="21" customHeight="1">
      <x:c r="A12" s="1"/>
      <x:c r="B12" s="1"/>
      <x:c r="C12" s="1" t="str">
        <x:v>New activations including replacements</x:v>
      </x:c>
      <x:c r="D12" s="48" t="n">
        <x:f>MAX(0,D10-0*(1-'Assumptions'!$D$26))</x:f>
        <x:v>0</x:v>
      </x:c>
      <x:c r="E12" s="48" t="n">
        <x:f>MAX(0,E10-D10*(1-'Assumptions'!$D$26))</x:f>
        <x:v>0</x:v>
      </x:c>
      <x:c r="F12" s="48" t="n">
        <x:f>MAX(0,F10-E10*(1-'Assumptions'!$D$26))</x:f>
        <x:v>0</x:v>
      </x:c>
      <x:c r="G12" s="48" t="n">
        <x:f>MAX(0,G10-F10*(1-'Assumptions'!$D$26))</x:f>
        <x:v>0</x:v>
      </x:c>
      <x:c r="H12" s="48" t="n">
        <x:f>MAX(0,H10-G10*(1-'Assumptions'!$D$26))</x:f>
        <x:v>0</x:v>
      </x:c>
      <x:c r="I12" s="48" t="n">
        <x:f>MAX(0,I10-H10*(1-'Assumptions'!$D$26))</x:f>
        <x:v>428.57142857142856</x:v>
      </x:c>
      <x:c r="J12" s="48" t="n">
        <x:f>MAX(0,J10-I10*(1-'Assumptions'!$D$26))</x:f>
        <x:v>445.7142857142857</x:v>
      </x:c>
      <x:c r="K12" s="48" t="n">
        <x:f>MAX(0,K10-J10*(1-'Assumptions'!$D$26))</x:f>
        <x:v>462.8571428571428</x:v>
      </x:c>
      <x:c r="L12" s="48" t="n">
        <x:f>MAX(0,L10-K10*(1-'Assumptions'!$D$26))</x:f>
        <x:v>480.0000000000002</x:v>
      </x:c>
      <x:c r="M12" s="48" t="n">
        <x:f>MAX(0,M10-L10*(1-'Assumptions'!$D$26))</x:f>
        <x:v>497.14285714285757</x:v>
      </x:c>
      <x:c r="N12" s="48" t="n">
        <x:f>MAX(0,N10-M10*(1-'Assumptions'!$D$26))</x:f>
        <x:v>514.2857142857138</x:v>
      </x:c>
      <x:c r="O12" s="48" t="n">
        <x:f>MAX(0,O10-N10*(1-'Assumptions'!$D$26))</x:f>
        <x:v>531.428571428572</x:v>
      </x:c>
      <x:c r="P12" s="48" t="n">
        <x:f>MAX(0,P10-O10*(1-'Assumptions'!$D$26))</x:f>
        <x:v>578.3333333333335</x:v>
      </x:c>
      <x:c r="Q12" s="48" t="n">
        <x:f>MAX(0,Q10-P10*(1-'Assumptions'!$D$26))</x:f>
        <x:v>596.6666666666665</x:v>
      </x:c>
      <x:c r="R12" s="48" t="n">
        <x:f>MAX(0,R10-Q10*(1-'Assumptions'!$D$26))</x:f>
        <x:v>615.0000000000005</x:v>
      </x:c>
      <x:c r="S12" s="48" t="n">
        <x:f>MAX(0,S10-R10*(1-'Assumptions'!$D$26))</x:f>
        <x:v>633.333333333333</x:v>
      </x:c>
      <x:c r="T12" s="48" t="n">
        <x:f>MAX(0,T10-S10*(1-'Assumptions'!$D$26))</x:f>
        <x:v>651.666666666667</x:v>
      </x:c>
      <x:c r="U12" s="48" t="n">
        <x:f>MAX(0,U10-T10*(1-'Assumptions'!$D$26))</x:f>
        <x:v>670.0000000000009</x:v>
      </x:c>
      <x:c r="V12" s="48" t="n">
        <x:f>MAX(0,V10-U10*(1-'Assumptions'!$D$26))</x:f>
        <x:v>688.3333333333339</x:v>
      </x:c>
      <x:c r="W12" s="48" t="n">
        <x:f>MAX(0,W10-V10*(1-'Assumptions'!$D$26))</x:f>
        <x:v>706.6666666666661</x:v>
      </x:c>
      <x:c r="X12" s="48" t="n">
        <x:f>MAX(0,X10-W10*(1-'Assumptions'!$D$26))</x:f>
        <x:v>725.0000000000009</x:v>
      </x:c>
      <x:c r="Y12" s="48" t="n">
        <x:f>MAX(0,Y10-X10*(1-'Assumptions'!$D$26))</x:f>
        <x:v>743.333333333333</x:v>
      </x:c>
      <x:c r="Z12" s="48" t="n">
        <x:f>MAX(0,Z10-Y10*(1-'Assumptions'!$D$26))</x:f>
        <x:v>761.6666666666679</x:v>
      </x:c>
      <x:c r="AA12" s="48" t="n">
        <x:f>MAX(0,AA10-Z10*(1-'Assumptions'!$D$26))</x:f>
        <x:v>780</x:v>
      </x:c>
      <x:c r="AB12" s="48" t="n">
        <x:f>MAX(0,AB10-AA10*(1-'Assumptions'!$D$26))</x:f>
        <x:v>798.3333333333339</x:v>
      </x:c>
      <x:c r="AC12" s="48" t="n">
        <x:f>MAX(0,AC10-AB10*(1-'Assumptions'!$D$26))</x:f>
        <x:v>816.6666666666661</x:v>
      </x:c>
      <x:c r="AD12" s="48" t="n">
        <x:f>MAX(0,AD10-AC10*(1-'Assumptions'!$D$26))</x:f>
        <x:v>835.0000000000018</x:v>
      </x:c>
      <x:c r="AE12" s="48" t="n">
        <x:f>MAX(0,AE10-AD10*(1-'Assumptions'!$D$26))</x:f>
        <x:v>853.3333333333339</x:v>
      </x:c>
      <x:c r="AF12" s="48" t="n">
        <x:f>MAX(0,AF10-AE10*(1-'Assumptions'!$D$26))</x:f>
        <x:v>871.6666666666661</x:v>
      </x:c>
      <x:c r="AG12" s="48" t="n">
        <x:f>MAX(0,AG10-AF10*(1-'Assumptions'!$D$26))</x:f>
        <x:v>890.0000000000018</x:v>
      </x:c>
      <x:c r="AH12" s="48" t="n">
        <x:f>MAX(0,AH10-AG10*(1-'Assumptions'!$D$26))</x:f>
        <x:v>908.3333333333339</x:v>
      </x:c>
      <x:c r="AI12" s="48" t="n">
        <x:f>MAX(0,AI10-AH10*(1-'Assumptions'!$D$26))</x:f>
        <x:v>926.6666666666661</x:v>
      </x:c>
      <x:c r="AJ12" s="48" t="n">
        <x:f>MAX(0,AJ10-AI10*(1-'Assumptions'!$D$26))</x:f>
        <x:v>945.0000000000018</x:v>
      </x:c>
      <x:c r="AK12" s="48" t="n">
        <x:f>MAX(0,AK10-AJ10*(1-'Assumptions'!$D$26))</x:f>
        <x:v>963.3333333333321</x:v>
      </x:c>
      <x:c r="AL12" s="48" t="n">
        <x:f>MAX(0,AL10-AK10*(1-'Assumptions'!$D$26))</x:f>
        <x:v>981.6666666666697</x:v>
      </x:c>
      <x:c r="AM12" s="48" t="n">
        <x:f>MAX(0,AM10-AL10*(1-'Assumptions'!$D$26))</x:f>
        <x:v>1000</x:v>
      </x:c>
      <x:c r="AN12" s="48" t="n">
        <x:f>MAX(0,AN10-AM10*(1-'Assumptions'!$D$26))</x:f>
        <x:v>1143.333333333334</x:v>
      </x:c>
      <x:c r="AO12" s="48" t="n">
        <x:f>MAX(0,AO10-AN10*(1-'Assumptions'!$D$26))</x:f>
        <x:v>1166.666666666666</x:v>
      </x:c>
      <x:c r="AP12" s="48" t="n">
        <x:f>MAX(0,AP10-AO10*(1-'Assumptions'!$D$26))</x:f>
        <x:v>1190.0000000000018</x:v>
      </x:c>
      <x:c r="AQ12" s="48" t="n">
        <x:f>MAX(0,AQ10-AP10*(1-'Assumptions'!$D$26))</x:f>
        <x:v>1213.333333333334</x:v>
      </x:c>
      <x:c r="AR12" s="48" t="n">
        <x:f>MAX(0,AR10-AQ10*(1-'Assumptions'!$D$26))</x:f>
        <x:v>1236.6666666666679</x:v>
      </x:c>
      <x:c r="AS12" s="48" t="n">
        <x:f>MAX(0,AS10-AR10*(1-'Assumptions'!$D$26))</x:f>
        <x:v>1260</x:v>
      </x:c>
      <x:c r="AT12" s="48" t="n">
        <x:f>MAX(0,AT10-AS10*(1-'Assumptions'!$D$26))</x:f>
        <x:v>1283.3333333333321</x:v>
      </x:c>
      <x:c r="AU12" s="48" t="n">
        <x:f>MAX(0,AU10-AT10*(1-'Assumptions'!$D$26))</x:f>
        <x:v>1306.6666666666679</x:v>
      </x:c>
      <x:c r="AV12" s="48" t="n">
        <x:f>MAX(0,AV10-AU10*(1-'Assumptions'!$D$26))</x:f>
        <x:v>1330</x:v>
      </x:c>
      <x:c r="AW12" s="48" t="n">
        <x:f>MAX(0,AW10-AV10*(1-'Assumptions'!$D$26))</x:f>
        <x:v>1353.3333333333321</x:v>
      </x:c>
      <x:c r="AX12" s="48" t="n">
        <x:f>MAX(0,AX10-AW10*(1-'Assumptions'!$D$26))</x:f>
        <x:v>1376.6666666666715</x:v>
      </x:c>
      <x:c r="AY12" s="48" t="n">
        <x:f>MAX(0,AY10-AX10*(1-'Assumptions'!$D$26))</x:f>
        <x:v>1400</x:v>
      </x:c>
      <x:c r="AZ12" s="48" t="n">
        <x:f>MAX(0,AZ10-AY10*(1-'Assumptions'!$D$26))</x:f>
        <x:v>1506.6666666666679</x:v>
      </x:c>
      <x:c r="BA12" s="48" t="n">
        <x:f>MAX(0,BA10-AZ10*(1-'Assumptions'!$D$26))</x:f>
        <x:v>1533.3333333333321</x:v>
      </x:c>
      <x:c r="BB12" s="48" t="n">
        <x:f>MAX(0,BB10-BA10*(1-'Assumptions'!$D$26))</x:f>
        <x:v>1560.0000000000036</x:v>
      </x:c>
      <x:c r="BC12" s="48" t="n">
        <x:f>MAX(0,BC10-BB10*(1-'Assumptions'!$D$26))</x:f>
        <x:v>1586.6666666666679</x:v>
      </x:c>
      <x:c r="BD12" s="48" t="n">
        <x:f>MAX(0,BD10-BC10*(1-'Assumptions'!$D$26))</x:f>
        <x:v>1613.3333333333321</x:v>
      </x:c>
      <x:c r="BE12" s="48" t="n">
        <x:f>MAX(0,BE10-BD10*(1-'Assumptions'!$D$26))</x:f>
        <x:v>1640.0000000000036</x:v>
      </x:c>
      <x:c r="BF12" s="48" t="n">
        <x:f>MAX(0,BF10-BE10*(1-'Assumptions'!$D$26))</x:f>
        <x:v>1666.6666666666679</x:v>
      </x:c>
      <x:c r="BG12" s="48" t="n">
        <x:f>MAX(0,BG10-BF10*(1-'Assumptions'!$D$26))</x:f>
        <x:v>1693.3333333333321</x:v>
      </x:c>
      <x:c r="BH12" s="48" t="n">
        <x:f>MAX(0,BH10-BG10*(1-'Assumptions'!$D$26))</x:f>
        <x:v>1720.0000000000036</x:v>
      </x:c>
      <x:c r="BI12" s="48" t="n">
        <x:f>MAX(0,BI10-BH10*(1-'Assumptions'!$D$26))</x:f>
        <x:v>1746.6666666666679</x:v>
      </x:c>
      <x:c r="BJ12" s="48" t="n">
        <x:f>MAX(0,BJ10-BI10*(1-'Assumptions'!$D$26))</x:f>
        <x:v>1773.3333333333321</x:v>
      </x:c>
      <x:c r="BK12" s="48" t="n">
        <x:f>MAX(0,BK10-BJ10*(1-'Assumptions'!$D$26))</x:f>
        <x:v>1800.0000000000036</x:v>
      </x:c>
      <x:c r="BL12" s="1"/>
    </x:row>
    <x:row r="13" ht="21" customHeight="1">
      <x:c r="A13" s="1"/>
      <x:c r="B13" s="1"/>
      <x:c r="C13" s="1" t="str">
        <x:v>Verification checks</x:v>
      </x:c>
      <x:c r="D13" s="48" t="n">
        <x:f>D12/'Assumptions'!$D$38</x:f>
        <x:v>0</x:v>
      </x:c>
      <x:c r="E13" s="48" t="n">
        <x:f>E12/'Assumptions'!$D$38</x:f>
        <x:v>0</x:v>
      </x:c>
      <x:c r="F13" s="48" t="n">
        <x:f>F12/'Assumptions'!$D$38</x:f>
        <x:v>0</x:v>
      </x:c>
      <x:c r="G13" s="48" t="n">
        <x:f>G12/'Assumptions'!$D$38</x:f>
        <x:v>0</x:v>
      </x:c>
      <x:c r="H13" s="48" t="n">
        <x:f>H12/'Assumptions'!$D$38</x:f>
        <x:v>0</x:v>
      </x:c>
      <x:c r="I13" s="48" t="n">
        <x:f>I12/'Assumptions'!$D$38</x:f>
        <x:v>571.4285714285714</x:v>
      </x:c>
      <x:c r="J13" s="48" t="n">
        <x:f>J12/'Assumptions'!$D$38</x:f>
        <x:v>594.2857142857143</x:v>
      </x:c>
      <x:c r="K13" s="48" t="n">
        <x:f>K12/'Assumptions'!$D$38</x:f>
        <x:v>617.142857142857</x:v>
      </x:c>
      <x:c r="L13" s="48" t="n">
        <x:f>L12/'Assumptions'!$D$38</x:f>
        <x:v>640.0000000000003</x:v>
      </x:c>
      <x:c r="M13" s="48" t="n">
        <x:f>M12/'Assumptions'!$D$38</x:f>
        <x:v>662.8571428571435</x:v>
      </x:c>
      <x:c r="N13" s="48" t="n">
        <x:f>N12/'Assumptions'!$D$38</x:f>
        <x:v>685.714285714285</x:v>
      </x:c>
      <x:c r="O13" s="48" t="n">
        <x:f>O12/'Assumptions'!$D$38</x:f>
        <x:v>708.5714285714294</x:v>
      </x:c>
      <x:c r="P13" s="48" t="n">
        <x:f>P12/'Assumptions'!$D$38</x:f>
        <x:v>771.1111111111113</x:v>
      </x:c>
      <x:c r="Q13" s="48" t="n">
        <x:f>Q12/'Assumptions'!$D$38</x:f>
        <x:v>795.5555555555553</x:v>
      </x:c>
      <x:c r="R13" s="48" t="n">
        <x:f>R12/'Assumptions'!$D$38</x:f>
        <x:v>820.0000000000006</x:v>
      </x:c>
      <x:c r="S13" s="48" t="n">
        <x:f>S12/'Assumptions'!$D$38</x:f>
        <x:v>844.444444444444</x:v>
      </x:c>
      <x:c r="T13" s="48" t="n">
        <x:f>T12/'Assumptions'!$D$38</x:f>
        <x:v>868.8888888888893</x:v>
      </x:c>
      <x:c r="U13" s="48" t="n">
        <x:f>U12/'Assumptions'!$D$38</x:f>
        <x:v>893.3333333333345</x:v>
      </x:c>
      <x:c r="V13" s="48" t="n">
        <x:f>V12/'Assumptions'!$D$38</x:f>
        <x:v>917.7777777777786</x:v>
      </x:c>
      <x:c r="W13" s="48" t="n">
        <x:f>W12/'Assumptions'!$D$38</x:f>
        <x:v>942.2222222222214</x:v>
      </x:c>
      <x:c r="X13" s="48" t="n">
        <x:f>X12/'Assumptions'!$D$38</x:f>
        <x:v>966.6666666666679</x:v>
      </x:c>
      <x:c r="Y13" s="48" t="n">
        <x:f>Y12/'Assumptions'!$D$38</x:f>
        <x:v>991.1111111111107</x:v>
      </x:c>
      <x:c r="Z13" s="48" t="n">
        <x:f>Z12/'Assumptions'!$D$38</x:f>
        <x:v>1015.5555555555571</x:v>
      </x:c>
      <x:c r="AA13" s="48" t="n">
        <x:f>AA12/'Assumptions'!$D$38</x:f>
        <x:v>1040</x:v>
      </x:c>
      <x:c r="AB13" s="48" t="n">
        <x:f>AB12/'Assumptions'!$D$38</x:f>
        <x:v>1064.4444444444453</x:v>
      </x:c>
      <x:c r="AC13" s="48" t="n">
        <x:f>AC12/'Assumptions'!$D$38</x:f>
        <x:v>1088.888888888888</x:v>
      </x:c>
      <x:c r="AD13" s="48" t="n">
        <x:f>AD12/'Assumptions'!$D$38</x:f>
        <x:v>1113.3333333333358</x:v>
      </x:c>
      <x:c r="AE13" s="48" t="n">
        <x:f>AE12/'Assumptions'!$D$38</x:f>
        <x:v>1137.7777777777785</x:v>
      </x:c>
      <x:c r="AF13" s="48" t="n">
        <x:f>AF12/'Assumptions'!$D$38</x:f>
        <x:v>1162.2222222222215</x:v>
      </x:c>
      <x:c r="AG13" s="48" t="n">
        <x:f>AG12/'Assumptions'!$D$38</x:f>
        <x:v>1186.666666666669</x:v>
      </x:c>
      <x:c r="AH13" s="48" t="n">
        <x:f>AH12/'Assumptions'!$D$38</x:f>
        <x:v>1211.111111111112</x:v>
      </x:c>
      <x:c r="AI13" s="48" t="n">
        <x:f>AI12/'Assumptions'!$D$38</x:f>
        <x:v>1235.5555555555547</x:v>
      </x:c>
      <x:c r="AJ13" s="48" t="n">
        <x:f>AJ12/'Assumptions'!$D$38</x:f>
        <x:v>1260.0000000000025</x:v>
      </x:c>
      <x:c r="AK13" s="48" t="n">
        <x:f>AK12/'Assumptions'!$D$38</x:f>
        <x:v>1284.4444444444428</x:v>
      </x:c>
      <x:c r="AL13" s="48" t="n">
        <x:f>AL12/'Assumptions'!$D$38</x:f>
        <x:v>1308.888888888893</x:v>
      </x:c>
      <x:c r="AM13" s="48" t="n">
        <x:f>AM12/'Assumptions'!$D$38</x:f>
        <x:v>1333.3333333333333</x:v>
      </x:c>
      <x:c r="AN13" s="48" t="n">
        <x:f>AN12/'Assumptions'!$D$38</x:f>
        <x:v>1524.4444444444453</x:v>
      </x:c>
      <x:c r="AO13" s="48" t="n">
        <x:f>AO12/'Assumptions'!$D$38</x:f>
        <x:v>1555.5555555555547</x:v>
      </x:c>
      <x:c r="AP13" s="48" t="n">
        <x:f>AP12/'Assumptions'!$D$38</x:f>
        <x:v>1586.666666666669</x:v>
      </x:c>
      <x:c r="AQ13" s="48" t="n">
        <x:f>AQ12/'Assumptions'!$D$38</x:f>
        <x:v>1617.7777777777785</x:v>
      </x:c>
      <x:c r="AR13" s="48" t="n">
        <x:f>AR12/'Assumptions'!$D$38</x:f>
        <x:v>1648.8888888888905</x:v>
      </x:c>
      <x:c r="AS13" s="48" t="n">
        <x:f>AS12/'Assumptions'!$D$38</x:f>
        <x:v>1680</x:v>
      </x:c>
      <x:c r="AT13" s="48" t="n">
        <x:f>AT12/'Assumptions'!$D$38</x:f>
        <x:v>1711.1111111111095</x:v>
      </x:c>
      <x:c r="AU13" s="48" t="n">
        <x:f>AU12/'Assumptions'!$D$38</x:f>
        <x:v>1742.2222222222238</x:v>
      </x:c>
      <x:c r="AV13" s="48" t="n">
        <x:f>AV12/'Assumptions'!$D$38</x:f>
        <x:v>1773.3333333333333</x:v>
      </x:c>
      <x:c r="AW13" s="48" t="n">
        <x:f>AW12/'Assumptions'!$D$38</x:f>
        <x:v>1804.4444444444428</x:v>
      </x:c>
      <x:c r="AX13" s="48" t="n">
        <x:f>AX12/'Assumptions'!$D$38</x:f>
        <x:v>1835.555555555562</x:v>
      </x:c>
      <x:c r="AY13" s="48" t="n">
        <x:f>AY12/'Assumptions'!$D$38</x:f>
        <x:v>1866.6666666666667</x:v>
      </x:c>
      <x:c r="AZ13" s="48" t="n">
        <x:f>AZ12/'Assumptions'!$D$38</x:f>
        <x:v>2008.8888888888905</x:v>
      </x:c>
      <x:c r="BA13" s="48" t="n">
        <x:f>BA12/'Assumptions'!$D$38</x:f>
        <x:v>2044.4444444444428</x:v>
      </x:c>
      <x:c r="BB13" s="48" t="n">
        <x:f>BB12/'Assumptions'!$D$38</x:f>
        <x:v>2080.000000000005</x:v>
      </x:c>
      <x:c r="BC13" s="48" t="n">
        <x:f>BC12/'Assumptions'!$D$38</x:f>
        <x:v>2115.555555555557</x:v>
      </x:c>
      <x:c r="BD13" s="48" t="n">
        <x:f>BD12/'Assumptions'!$D$38</x:f>
        <x:v>2151.1111111111095</x:v>
      </x:c>
      <x:c r="BE13" s="48" t="n">
        <x:f>BE12/'Assumptions'!$D$38</x:f>
        <x:v>2186.6666666666715</x:v>
      </x:c>
      <x:c r="BF13" s="48" t="n">
        <x:f>BF12/'Assumptions'!$D$38</x:f>
        <x:v>2222.222222222224</x:v>
      </x:c>
      <x:c r="BG13" s="48" t="n">
        <x:f>BG12/'Assumptions'!$D$38</x:f>
        <x:v>2257.777777777776</x:v>
      </x:c>
      <x:c r="BH13" s="48" t="n">
        <x:f>BH12/'Assumptions'!$D$38</x:f>
        <x:v>2293.333333333338</x:v>
      </x:c>
      <x:c r="BI13" s="48" t="n">
        <x:f>BI12/'Assumptions'!$D$38</x:f>
        <x:v>2328.8888888888905</x:v>
      </x:c>
      <x:c r="BJ13" s="48" t="n">
        <x:f>BJ12/'Assumptions'!$D$38</x:f>
        <x:v>2364.444444444443</x:v>
      </x:c>
      <x:c r="BK13" s="48" t="n">
        <x:f>BK12/'Assumptions'!$D$38</x:f>
        <x:v>2400.000000000005</x:v>
      </x:c>
      <x:c r="BL13" s="1"/>
    </x:row>
    <x:row r="14" ht="21" customHeight="1">
      <x:c r="A14" s="1"/>
      <x:c r="B14" s="1"/>
      <x:c r="C14" s="1" t="str">
        <x:v>Closing paying businesses</x:v>
      </x:c>
      <x:c r="D14" s="48" t="n">
        <x:f>'Assumptions'!$G$74*MAX(0,(D$7-'Assumptions'!$D$20+1)/(13-'Assumptions'!$D$20))</x:f>
        <x:v>0</x:v>
      </x:c>
      <x:c r="E14" s="48" t="n">
        <x:f>'Assumptions'!$G$74*MAX(0,(E$7-'Assumptions'!$D$20+1)/(13-'Assumptions'!$D$20))</x:f>
        <x:v>0</x:v>
      </x:c>
      <x:c r="F14" s="48" t="n">
        <x:f>'Assumptions'!$G$74*MAX(0,(F$7-'Assumptions'!$D$20+1)/(13-'Assumptions'!$D$20))</x:f>
        <x:v>0</x:v>
      </x:c>
      <x:c r="G14" s="48" t="n">
        <x:f>'Assumptions'!$G$74*MAX(0,(G$7-'Assumptions'!$D$20+1)/(13-'Assumptions'!$D$20))</x:f>
        <x:v>0</x:v>
      </x:c>
      <x:c r="H14" s="48" t="n">
        <x:f>'Assumptions'!$G$74*MAX(0,(H$7-'Assumptions'!$D$20+1)/(13-'Assumptions'!$D$20))</x:f>
        <x:v>0</x:v>
      </x:c>
      <x:c r="I14" s="48" t="n">
        <x:f>'Assumptions'!$G$74*MAX(0,(I$7-'Assumptions'!$D$20+1)/(13-'Assumptions'!$D$20))</x:f>
        <x:v>5.7142857142857135</x:v>
      </x:c>
      <x:c r="J14" s="48" t="n">
        <x:f>'Assumptions'!$G$74*MAX(0,(J$7-'Assumptions'!$D$20+1)/(13-'Assumptions'!$D$20))</x:f>
        <x:v>11.428571428571427</x:v>
      </x:c>
      <x:c r="K14" s="48" t="n">
        <x:f>'Assumptions'!$G$74*MAX(0,(K$7-'Assumptions'!$D$20+1)/(13-'Assumptions'!$D$20))</x:f>
        <x:v>17.142857142857142</x:v>
      </x:c>
      <x:c r="L14" s="48" t="n">
        <x:f>'Assumptions'!$G$74*MAX(0,(L$7-'Assumptions'!$D$20+1)/(13-'Assumptions'!$D$20))</x:f>
        <x:v>22.857142857142854</x:v>
      </x:c>
      <x:c r="M14" s="48" t="n">
        <x:f>'Assumptions'!$G$74*MAX(0,(M$7-'Assumptions'!$D$20+1)/(13-'Assumptions'!$D$20))</x:f>
        <x:v>28.571428571428573</x:v>
      </x:c>
      <x:c r="N14" s="48" t="n">
        <x:f>'Assumptions'!$G$74*MAX(0,(N$7-'Assumptions'!$D$20+1)/(13-'Assumptions'!$D$20))</x:f>
        <x:v>34.285714285714285</x:v>
      </x:c>
      <x:c r="O14" s="48" t="n">
        <x:f>'Assumptions'!$G$74*MAX(0,(O$7-'Assumptions'!$D$20+1)/(13-'Assumptions'!$D$20))</x:f>
        <x:v>40</x:v>
      </x:c>
      <x:c r="P14" s="48" t="n">
        <x:f>'Assumptions'!$G$74+('Assumptions'!$H$74-'Assumptions'!$G$74)*1/12</x:f>
        <x:v>47.5</x:v>
      </x:c>
      <x:c r="Q14" s="48" t="n">
        <x:f>'Assumptions'!$G$74+('Assumptions'!$H$74-'Assumptions'!$G$74)*2/12</x:f>
        <x:v>55</x:v>
      </x:c>
      <x:c r="R14" s="48" t="n">
        <x:f>'Assumptions'!$G$74+('Assumptions'!$H$74-'Assumptions'!$G$74)*3/12</x:f>
        <x:v>62.5</x:v>
      </x:c>
      <x:c r="S14" s="48" t="n">
        <x:f>'Assumptions'!$G$74+('Assumptions'!$H$74-'Assumptions'!$G$74)*4/12</x:f>
        <x:v>70</x:v>
      </x:c>
      <x:c r="T14" s="48" t="n">
        <x:f>'Assumptions'!$G$74+('Assumptions'!$H$74-'Assumptions'!$G$74)*5/12</x:f>
        <x:v>77.5</x:v>
      </x:c>
      <x:c r="U14" s="48" t="n">
        <x:f>'Assumptions'!$G$74+('Assumptions'!$H$74-'Assumptions'!$G$74)*6/12</x:f>
        <x:v>85</x:v>
      </x:c>
      <x:c r="V14" s="48" t="n">
        <x:f>'Assumptions'!$G$74+('Assumptions'!$H$74-'Assumptions'!$G$74)*7/12</x:f>
        <x:v>92.5</x:v>
      </x:c>
      <x:c r="W14" s="48" t="n">
        <x:f>'Assumptions'!$G$74+('Assumptions'!$H$74-'Assumptions'!$G$74)*8/12</x:f>
        <x:v>100</x:v>
      </x:c>
      <x:c r="X14" s="48" t="n">
        <x:f>'Assumptions'!$G$74+('Assumptions'!$H$74-'Assumptions'!$G$74)*9/12</x:f>
        <x:v>107.5</x:v>
      </x:c>
      <x:c r="Y14" s="48" t="n">
        <x:f>'Assumptions'!$G$74+('Assumptions'!$H$74-'Assumptions'!$G$74)*10/12</x:f>
        <x:v>115</x:v>
      </x:c>
      <x:c r="Z14" s="48" t="n">
        <x:f>'Assumptions'!$G$74+('Assumptions'!$H$74-'Assumptions'!$G$74)*11/12</x:f>
        <x:v>122.5</x:v>
      </x:c>
      <x:c r="AA14" s="48" t="n">
        <x:f>'Assumptions'!$G$74+('Assumptions'!$H$74-'Assumptions'!$G$74)*12/12</x:f>
        <x:v>130</x:v>
      </x:c>
      <x:c r="AB14" s="48" t="n">
        <x:f>'Assumptions'!$H$74+('Assumptions'!$I$74-'Assumptions'!$H$74)*1/12</x:f>
        <x:v>140</x:v>
      </x:c>
      <x:c r="AC14" s="48" t="n">
        <x:f>'Assumptions'!$H$74+('Assumptions'!$I$74-'Assumptions'!$H$74)*2/12</x:f>
        <x:v>150</x:v>
      </x:c>
      <x:c r="AD14" s="48" t="n">
        <x:f>'Assumptions'!$H$74+('Assumptions'!$I$74-'Assumptions'!$H$74)*3/12</x:f>
        <x:v>160</x:v>
      </x:c>
      <x:c r="AE14" s="48" t="n">
        <x:f>'Assumptions'!$H$74+('Assumptions'!$I$74-'Assumptions'!$H$74)*4/12</x:f>
        <x:v>170</x:v>
      </x:c>
      <x:c r="AF14" s="48" t="n">
        <x:f>'Assumptions'!$H$74+('Assumptions'!$I$74-'Assumptions'!$H$74)*5/12</x:f>
        <x:v>180</x:v>
      </x:c>
      <x:c r="AG14" s="48" t="n">
        <x:f>'Assumptions'!$H$74+('Assumptions'!$I$74-'Assumptions'!$H$74)*6/12</x:f>
        <x:v>190</x:v>
      </x:c>
      <x:c r="AH14" s="48" t="n">
        <x:f>'Assumptions'!$H$74+('Assumptions'!$I$74-'Assumptions'!$H$74)*7/12</x:f>
        <x:v>200</x:v>
      </x:c>
      <x:c r="AI14" s="48" t="n">
        <x:f>'Assumptions'!$H$74+('Assumptions'!$I$74-'Assumptions'!$H$74)*8/12</x:f>
        <x:v>210</x:v>
      </x:c>
      <x:c r="AJ14" s="48" t="n">
        <x:f>'Assumptions'!$H$74+('Assumptions'!$I$74-'Assumptions'!$H$74)*9/12</x:f>
        <x:v>220</x:v>
      </x:c>
      <x:c r="AK14" s="48" t="n">
        <x:f>'Assumptions'!$H$74+('Assumptions'!$I$74-'Assumptions'!$H$74)*10/12</x:f>
        <x:v>230</x:v>
      </x:c>
      <x:c r="AL14" s="48" t="n">
        <x:f>'Assumptions'!$H$74+('Assumptions'!$I$74-'Assumptions'!$H$74)*11/12</x:f>
        <x:v>240</x:v>
      </x:c>
      <x:c r="AM14" s="48" t="n">
        <x:f>'Assumptions'!$H$74+('Assumptions'!$I$74-'Assumptions'!$H$74)*12/12</x:f>
        <x:v>250</x:v>
      </x:c>
      <x:c r="AN14" s="48" t="n">
        <x:f>'Assumptions'!$I$74+('Assumptions'!$J$74-'Assumptions'!$I$74)*1/12</x:f>
        <x:v>262.5</x:v>
      </x:c>
      <x:c r="AO14" s="48" t="n">
        <x:f>'Assumptions'!$I$74+('Assumptions'!$J$74-'Assumptions'!$I$74)*2/12</x:f>
        <x:v>275</x:v>
      </x:c>
      <x:c r="AP14" s="48" t="n">
        <x:f>'Assumptions'!$I$74+('Assumptions'!$J$74-'Assumptions'!$I$74)*3/12</x:f>
        <x:v>287.5</x:v>
      </x:c>
      <x:c r="AQ14" s="48" t="n">
        <x:f>'Assumptions'!$I$74+('Assumptions'!$J$74-'Assumptions'!$I$74)*4/12</x:f>
        <x:v>300</x:v>
      </x:c>
      <x:c r="AR14" s="48" t="n">
        <x:f>'Assumptions'!$I$74+('Assumptions'!$J$74-'Assumptions'!$I$74)*5/12</x:f>
        <x:v>312.5</x:v>
      </x:c>
      <x:c r="AS14" s="48" t="n">
        <x:f>'Assumptions'!$I$74+('Assumptions'!$J$74-'Assumptions'!$I$74)*6/12</x:f>
        <x:v>325</x:v>
      </x:c>
      <x:c r="AT14" s="48" t="n">
        <x:f>'Assumptions'!$I$74+('Assumptions'!$J$74-'Assumptions'!$I$74)*7/12</x:f>
        <x:v>337.5</x:v>
      </x:c>
      <x:c r="AU14" s="48" t="n">
        <x:f>'Assumptions'!$I$74+('Assumptions'!$J$74-'Assumptions'!$I$74)*8/12</x:f>
        <x:v>350</x:v>
      </x:c>
      <x:c r="AV14" s="48" t="n">
        <x:f>'Assumptions'!$I$74+('Assumptions'!$J$74-'Assumptions'!$I$74)*9/12</x:f>
        <x:v>362.5</x:v>
      </x:c>
      <x:c r="AW14" s="48" t="n">
        <x:f>'Assumptions'!$I$74+('Assumptions'!$J$74-'Assumptions'!$I$74)*10/12</x:f>
        <x:v>375</x:v>
      </x:c>
      <x:c r="AX14" s="48" t="n">
        <x:f>'Assumptions'!$I$74+('Assumptions'!$J$74-'Assumptions'!$I$74)*11/12</x:f>
        <x:v>387.5</x:v>
      </x:c>
      <x:c r="AY14" s="48" t="n">
        <x:f>'Assumptions'!$I$74+('Assumptions'!$J$74-'Assumptions'!$I$74)*12/12</x:f>
        <x:v>400</x:v>
      </x:c>
      <x:c r="AZ14" s="48" t="n">
        <x:f>'Assumptions'!$J$74+('Assumptions'!$K$74-'Assumptions'!$J$74)*1/12</x:f>
        <x:v>416.6666666666667</x:v>
      </x:c>
      <x:c r="BA14" s="48" t="n">
        <x:f>'Assumptions'!$J$74+('Assumptions'!$K$74-'Assumptions'!$J$74)*2/12</x:f>
        <x:v>433.3333333333333</x:v>
      </x:c>
      <x:c r="BB14" s="48" t="n">
        <x:f>'Assumptions'!$J$74+('Assumptions'!$K$74-'Assumptions'!$J$74)*3/12</x:f>
        <x:v>450</x:v>
      </x:c>
      <x:c r="BC14" s="48" t="n">
        <x:f>'Assumptions'!$J$74+('Assumptions'!$K$74-'Assumptions'!$J$74)*4/12</x:f>
        <x:v>466.6666666666667</x:v>
      </x:c>
      <x:c r="BD14" s="48" t="n">
        <x:f>'Assumptions'!$J$74+('Assumptions'!$K$74-'Assumptions'!$J$74)*5/12</x:f>
        <x:v>483.3333333333333</x:v>
      </x:c>
      <x:c r="BE14" s="48" t="n">
        <x:f>'Assumptions'!$J$74+('Assumptions'!$K$74-'Assumptions'!$J$74)*6/12</x:f>
        <x:v>500</x:v>
      </x:c>
      <x:c r="BF14" s="48" t="n">
        <x:f>'Assumptions'!$J$74+('Assumptions'!$K$74-'Assumptions'!$J$74)*7/12</x:f>
        <x:v>516.6666666666666</x:v>
      </x:c>
      <x:c r="BG14" s="48" t="n">
        <x:f>'Assumptions'!$J$74+('Assumptions'!$K$74-'Assumptions'!$J$74)*8/12</x:f>
        <x:v>533.3333333333334</x:v>
      </x:c>
      <x:c r="BH14" s="48" t="n">
        <x:f>'Assumptions'!$J$74+('Assumptions'!$K$74-'Assumptions'!$J$74)*9/12</x:f>
        <x:v>550</x:v>
      </x:c>
      <x:c r="BI14" s="48" t="n">
        <x:f>'Assumptions'!$J$74+('Assumptions'!$K$74-'Assumptions'!$J$74)*10/12</x:f>
        <x:v>566.6666666666666</x:v>
      </x:c>
      <x:c r="BJ14" s="48" t="n">
        <x:f>'Assumptions'!$J$74+('Assumptions'!$K$74-'Assumptions'!$J$74)*11/12</x:f>
        <x:v>583.3333333333334</x:v>
      </x:c>
      <x:c r="BK14" s="48" t="n">
        <x:f>'Assumptions'!$J$74+('Assumptions'!$K$74-'Assumptions'!$J$74)*12/12</x:f>
        <x:v>600</x:v>
      </x:c>
      <x:c r="BL14" s="1"/>
    </x:row>
    <x:row r="15" ht="21" customHeight="1">
      <x:c r="A15" s="1"/>
      <x:c r="B15" s="1"/>
      <x:c r="C15" s="1" t="str">
        <x:v>Average paying businesses</x:v>
      </x:c>
      <x:c r="D15" s="49" t="n">
        <x:f>(0+D14)/2</x:f>
        <x:v>0</x:v>
      </x:c>
      <x:c r="E15" s="49" t="n">
        <x:f>(D14+E14)/2</x:f>
        <x:v>0</x:v>
      </x:c>
      <x:c r="F15" s="49" t="n">
        <x:f>(E14+F14)/2</x:f>
        <x:v>0</x:v>
      </x:c>
      <x:c r="G15" s="49" t="n">
        <x:f>(F14+G14)/2</x:f>
        <x:v>0</x:v>
      </x:c>
      <x:c r="H15" s="49" t="n">
        <x:f>(G14+H14)/2</x:f>
        <x:v>0</x:v>
      </x:c>
      <x:c r="I15" s="49" t="n">
        <x:f>(H14+I14)/2</x:f>
        <x:v>2.8571428571428568</x:v>
      </x:c>
      <x:c r="J15" s="49" t="n">
        <x:f>(I14+J14)/2</x:f>
        <x:v>8.57142857142857</x:v>
      </x:c>
      <x:c r="K15" s="49" t="n">
        <x:f>(J14+K14)/2</x:f>
        <x:v>14.285714285714285</x:v>
      </x:c>
      <x:c r="L15" s="49" t="n">
        <x:f>(K14+L14)/2</x:f>
        <x:v>20</x:v>
      </x:c>
      <x:c r="M15" s="49" t="n">
        <x:f>(L14+M14)/2</x:f>
        <x:v>25.714285714285715</x:v>
      </x:c>
      <x:c r="N15" s="49" t="n">
        <x:f>(M14+N14)/2</x:f>
        <x:v>31.42857142857143</x:v>
      </x:c>
      <x:c r="O15" s="49" t="n">
        <x:f>(N14+O14)/2</x:f>
        <x:v>37.14285714285714</x:v>
      </x:c>
      <x:c r="P15" s="49" t="n">
        <x:f>(O14+P14)/2</x:f>
        <x:v>43.75</x:v>
      </x:c>
      <x:c r="Q15" s="49" t="n">
        <x:f>(P14+Q14)/2</x:f>
        <x:v>51.25</x:v>
      </x:c>
      <x:c r="R15" s="49" t="n">
        <x:f>(Q14+R14)/2</x:f>
        <x:v>58.75</x:v>
      </x:c>
      <x:c r="S15" s="49" t="n">
        <x:f>(R14+S14)/2</x:f>
        <x:v>66.25</x:v>
      </x:c>
      <x:c r="T15" s="49" t="n">
        <x:f>(S14+T14)/2</x:f>
        <x:v>73.75</x:v>
      </x:c>
      <x:c r="U15" s="49" t="n">
        <x:f>(T14+U14)/2</x:f>
        <x:v>81.25</x:v>
      </x:c>
      <x:c r="V15" s="49" t="n">
        <x:f>(U14+V14)/2</x:f>
        <x:v>88.75</x:v>
      </x:c>
      <x:c r="W15" s="49" t="n">
        <x:f>(V14+W14)/2</x:f>
        <x:v>96.25</x:v>
      </x:c>
      <x:c r="X15" s="49" t="n">
        <x:f>(W14+X14)/2</x:f>
        <x:v>103.75</x:v>
      </x:c>
      <x:c r="Y15" s="49" t="n">
        <x:f>(X14+Y14)/2</x:f>
        <x:v>111.25</x:v>
      </x:c>
      <x:c r="Z15" s="49" t="n">
        <x:f>(Y14+Z14)/2</x:f>
        <x:v>118.75</x:v>
      </x:c>
      <x:c r="AA15" s="49" t="n">
        <x:f>(Z14+AA14)/2</x:f>
        <x:v>126.25</x:v>
      </x:c>
      <x:c r="AB15" s="49" t="n">
        <x:f>(AA14+AB14)/2</x:f>
        <x:v>135</x:v>
      </x:c>
      <x:c r="AC15" s="49" t="n">
        <x:f>(AB14+AC14)/2</x:f>
        <x:v>145</x:v>
      </x:c>
      <x:c r="AD15" s="49" t="n">
        <x:f>(AC14+AD14)/2</x:f>
        <x:v>155</x:v>
      </x:c>
      <x:c r="AE15" s="49" t="n">
        <x:f>(AD14+AE14)/2</x:f>
        <x:v>165</x:v>
      </x:c>
      <x:c r="AF15" s="49" t="n">
        <x:f>(AE14+AF14)/2</x:f>
        <x:v>175</x:v>
      </x:c>
      <x:c r="AG15" s="49" t="n">
        <x:f>(AF14+AG14)/2</x:f>
        <x:v>185</x:v>
      </x:c>
      <x:c r="AH15" s="49" t="n">
        <x:f>(AG14+AH14)/2</x:f>
        <x:v>195</x:v>
      </x:c>
      <x:c r="AI15" s="49" t="n">
        <x:f>(AH14+AI14)/2</x:f>
        <x:v>205</x:v>
      </x:c>
      <x:c r="AJ15" s="49" t="n">
        <x:f>(AI14+AJ14)/2</x:f>
        <x:v>215</x:v>
      </x:c>
      <x:c r="AK15" s="49" t="n">
        <x:f>(AJ14+AK14)/2</x:f>
        <x:v>225</x:v>
      </x:c>
      <x:c r="AL15" s="49" t="n">
        <x:f>(AK14+AL14)/2</x:f>
        <x:v>235</x:v>
      </x:c>
      <x:c r="AM15" s="49" t="n">
        <x:f>(AL14+AM14)/2</x:f>
        <x:v>245</x:v>
      </x:c>
      <x:c r="AN15" s="49" t="n">
        <x:f>(AM14+AN14)/2</x:f>
        <x:v>256.25</x:v>
      </x:c>
      <x:c r="AO15" s="49" t="n">
        <x:f>(AN14+AO14)/2</x:f>
        <x:v>268.75</x:v>
      </x:c>
      <x:c r="AP15" s="49" t="n">
        <x:f>(AO14+AP14)/2</x:f>
        <x:v>281.25</x:v>
      </x:c>
      <x:c r="AQ15" s="49" t="n">
        <x:f>(AP14+AQ14)/2</x:f>
        <x:v>293.75</x:v>
      </x:c>
      <x:c r="AR15" s="49" t="n">
        <x:f>(AQ14+AR14)/2</x:f>
        <x:v>306.25</x:v>
      </x:c>
      <x:c r="AS15" s="49" t="n">
        <x:f>(AR14+AS14)/2</x:f>
        <x:v>318.75</x:v>
      </x:c>
      <x:c r="AT15" s="49" t="n">
        <x:f>(AS14+AT14)/2</x:f>
        <x:v>331.25</x:v>
      </x:c>
      <x:c r="AU15" s="49" t="n">
        <x:f>(AT14+AU14)/2</x:f>
        <x:v>343.75</x:v>
      </x:c>
      <x:c r="AV15" s="49" t="n">
        <x:f>(AU14+AV14)/2</x:f>
        <x:v>356.25</x:v>
      </x:c>
      <x:c r="AW15" s="49" t="n">
        <x:f>(AV14+AW14)/2</x:f>
        <x:v>368.75</x:v>
      </x:c>
      <x:c r="AX15" s="49" t="n">
        <x:f>(AW14+AX14)/2</x:f>
        <x:v>381.25</x:v>
      </x:c>
      <x:c r="AY15" s="49" t="n">
        <x:f>(AX14+AY14)/2</x:f>
        <x:v>393.75</x:v>
      </x:c>
      <x:c r="AZ15" s="49" t="n">
        <x:f>(AY14+AZ14)/2</x:f>
        <x:v>408.33333333333337</x:v>
      </x:c>
      <x:c r="BA15" s="49" t="n">
        <x:f>(AZ14+BA14)/2</x:f>
        <x:v>425</x:v>
      </x:c>
      <x:c r="BB15" s="49" t="n">
        <x:f>(BA14+BB14)/2</x:f>
        <x:v>441.66666666666663</x:v>
      </x:c>
      <x:c r="BC15" s="49" t="n">
        <x:f>(BB14+BC14)/2</x:f>
        <x:v>458.33333333333337</x:v>
      </x:c>
      <x:c r="BD15" s="49" t="n">
        <x:f>(BC14+BD14)/2</x:f>
        <x:v>475</x:v>
      </x:c>
      <x:c r="BE15" s="49" t="n">
        <x:f>(BD14+BE14)/2</x:f>
        <x:v>491.66666666666663</x:v>
      </x:c>
      <x:c r="BF15" s="49" t="n">
        <x:f>(BE14+BF14)/2</x:f>
        <x:v>508.3333333333333</x:v>
      </x:c>
      <x:c r="BG15" s="49" t="n">
        <x:f>(BF14+BG14)/2</x:f>
        <x:v>525</x:v>
      </x:c>
      <x:c r="BH15" s="49" t="n">
        <x:f>(BG14+BH14)/2</x:f>
        <x:v>541.6666666666667</x:v>
      </x:c>
      <x:c r="BI15" s="49" t="n">
        <x:f>(BH14+BI14)/2</x:f>
        <x:v>558.3333333333333</x:v>
      </x:c>
      <x:c r="BJ15" s="49" t="n">
        <x:f>(BI14+BJ14)/2</x:f>
        <x:v>575</x:v>
      </x:c>
      <x:c r="BK15" s="49" t="n">
        <x:f>(BJ14+BK14)/2</x:f>
        <x:v>591.6666666666667</x:v>
      </x:c>
      <x:c r="BL15" s="1"/>
    </x:row>
    <x:row r="16" ht="21" customHeight="1">
      <x:c r="A16" s="1"/>
      <x:c r="B16" s="1"/>
      <x:c r="C16" s="1"/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  <x:c r="X16" s="50"/>
      <x:c r="Y16" s="50"/>
      <x:c r="Z16" s="50"/>
      <x:c r="AA16" s="50"/>
      <x:c r="AB16" s="50"/>
      <x:c r="AC16" s="50"/>
      <x:c r="AD16" s="50"/>
      <x:c r="AE16" s="50"/>
      <x:c r="AF16" s="50"/>
      <x:c r="AG16" s="50"/>
      <x:c r="AH16" s="50"/>
      <x:c r="AI16" s="50"/>
      <x:c r="AJ16" s="50"/>
      <x:c r="AK16" s="50"/>
      <x:c r="AL16" s="50"/>
      <x:c r="AM16" s="50"/>
      <x:c r="AN16" s="50"/>
      <x:c r="AO16" s="50"/>
      <x:c r="AP16" s="50"/>
      <x:c r="AQ16" s="50"/>
      <x:c r="AR16" s="50"/>
      <x:c r="AS16" s="50"/>
      <x:c r="AT16" s="50"/>
      <x:c r="AU16" s="50"/>
      <x:c r="AV16" s="50"/>
      <x:c r="AW16" s="50"/>
      <x:c r="AX16" s="50"/>
      <x:c r="AY16" s="50"/>
      <x:c r="AZ16" s="50"/>
      <x:c r="BA16" s="50"/>
      <x:c r="BB16" s="50"/>
      <x:c r="BC16" s="50"/>
      <x:c r="BD16" s="50"/>
      <x:c r="BE16" s="50"/>
      <x:c r="BF16" s="50"/>
      <x:c r="BG16" s="50"/>
      <x:c r="BH16" s="50"/>
      <x:c r="BI16" s="50"/>
      <x:c r="BJ16" s="50"/>
      <x:c r="BK16" s="50"/>
      <x:c r="BL16" s="1"/>
    </x:row>
    <x:row r="17" ht="21" customHeight="1">
      <x:c r="A17" s="1"/>
      <x:c r="B17" s="1"/>
      <x:c r="C17" s="1" t="str">
        <x:v>Paid transactions</x:v>
      </x:c>
      <x:c r="D17" s="48" t="n">
        <x:f>D11*'Assumptions'!$G$86</x:f>
        <x:v>0</x:v>
      </x:c>
      <x:c r="E17" s="48" t="n">
        <x:f>E11*'Assumptions'!$G$86</x:f>
        <x:v>0</x:v>
      </x:c>
      <x:c r="F17" s="48" t="n">
        <x:f>F11*'Assumptions'!$G$86</x:f>
        <x:v>0</x:v>
      </x:c>
      <x:c r="G17" s="48" t="n">
        <x:f>G11*'Assumptions'!$G$86</x:f>
        <x:v>0</x:v>
      </x:c>
      <x:c r="H17" s="48" t="n">
        <x:f>H11*'Assumptions'!$G$86</x:f>
        <x:v>0</x:v>
      </x:c>
      <x:c r="I17" s="48" t="n">
        <x:f>I11*'Assumptions'!$G$86</x:f>
        <x:v>257.1428571428571</x:v>
      </x:c>
      <x:c r="J17" s="48" t="n">
        <x:f>J11*'Assumptions'!$G$86</x:f>
        <x:v>771.4285714285714</x:v>
      </x:c>
      <x:c r="K17" s="48" t="n">
        <x:f>K11*'Assumptions'!$G$86</x:f>
        <x:v>1285.7142857142856</x:v>
      </x:c>
      <x:c r="L17" s="48" t="n">
        <x:f>L11*'Assumptions'!$G$86</x:f>
        <x:v>1800</x:v>
      </x:c>
      <x:c r="M17" s="48" t="n">
        <x:f>M11*'Assumptions'!$G$86</x:f>
        <x:v>2314.285714285714</x:v>
      </x:c>
      <x:c r="N17" s="48" t="n">
        <x:f>N11*'Assumptions'!$G$86</x:f>
        <x:v>2828.571428571428</x:v>
      </x:c>
      <x:c r="O17" s="48" t="n">
        <x:f>O11*'Assumptions'!$G$86</x:f>
        <x:v>3342.857142857142</x:v>
      </x:c>
      <x:c r="P17" s="48" t="n">
        <x:f>P11*'Assumptions'!$H$86</x:f>
        <x:v>4197.916666666667</x:v>
      </x:c>
      <x:c r="Q17" s="48" t="n">
        <x:f>Q11*'Assumptions'!$H$86</x:f>
        <x:v>4793.75</x:v>
      </x:c>
      <x:c r="R17" s="48" t="n">
        <x:f>R11*'Assumptions'!$H$86</x:f>
        <x:v>5389.583333333333</x:v>
      </x:c>
      <x:c r="S17" s="48" t="n">
        <x:f>S11*'Assumptions'!$H$86</x:f>
        <x:v>5985.416666666666</x:v>
      </x:c>
      <x:c r="T17" s="48" t="n">
        <x:f>T11*'Assumptions'!$H$86</x:f>
        <x:v>6581.25</x:v>
      </x:c>
      <x:c r="U17" s="48" t="n">
        <x:f>U11*'Assumptions'!$H$86</x:f>
        <x:v>7177.083333333333</x:v>
      </x:c>
      <x:c r="V17" s="48" t="n">
        <x:f>V11*'Assumptions'!$H$86</x:f>
        <x:v>7772.916666666667</x:v>
      </x:c>
      <x:c r="W17" s="48" t="n">
        <x:f>W11*'Assumptions'!$H$86</x:f>
        <x:v>8368.75</x:v>
      </x:c>
      <x:c r="X17" s="48" t="n">
        <x:f>X11*'Assumptions'!$H$86</x:f>
        <x:v>8964.583333333334</x:v>
      </x:c>
      <x:c r="Y17" s="48" t="n">
        <x:f>Y11*'Assumptions'!$H$86</x:f>
        <x:v>9560.416666666666</x:v>
      </x:c>
      <x:c r="Z17" s="48" t="n">
        <x:f>Z11*'Assumptions'!$H$86</x:f>
        <x:v>10156.25</x:v>
      </x:c>
      <x:c r="AA17" s="48" t="n">
        <x:f>AA11*'Assumptions'!$H$86</x:f>
        <x:v>10752.083333333334</x:v>
      </x:c>
      <x:c r="AB17" s="48" t="n">
        <x:f>AB11*'Assumptions'!$I$86</x:f>
        <x:v>12220.833333333334</x:v>
      </x:c>
      <x:c r="AC17" s="48" t="n">
        <x:f>AC11*'Assumptions'!$I$86</x:f>
        <x:v>12862.5</x:v>
      </x:c>
      <x:c r="AD17" s="48" t="n">
        <x:f>AD11*'Assumptions'!$I$86</x:f>
        <x:v>13504.166666666664</x:v>
      </x:c>
      <x:c r="AE17" s="48" t="n">
        <x:f>AE11*'Assumptions'!$I$86</x:f>
        <x:v>14145.833333333334</x:v>
      </x:c>
      <x:c r="AF17" s="48" t="n">
        <x:f>AF11*'Assumptions'!$I$86</x:f>
        <x:v>14787.499999999998</x:v>
      </x:c>
      <x:c r="AG17" s="48" t="n">
        <x:f>AG11*'Assumptions'!$I$86</x:f>
        <x:v>15429.166666666664</x:v>
      </x:c>
      <x:c r="AH17" s="48" t="n">
        <x:f>AH11*'Assumptions'!$I$86</x:f>
        <x:v>16070.833333333334</x:v>
      </x:c>
      <x:c r="AI17" s="48" t="n">
        <x:f>AI11*'Assumptions'!$I$86</x:f>
        <x:v>16712.5</x:v>
      </x:c>
      <x:c r="AJ17" s="48" t="n">
        <x:f>AJ11*'Assumptions'!$I$86</x:f>
        <x:v>17354.166666666664</x:v>
      </x:c>
      <x:c r="AK17" s="48" t="n">
        <x:f>AK11*'Assumptions'!$I$86</x:f>
        <x:v>17995.833333333332</x:v>
      </x:c>
      <x:c r="AL17" s="48" t="n">
        <x:f>AL11*'Assumptions'!$I$86</x:f>
        <x:v>18637.5</x:v>
      </x:c>
      <x:c r="AM17" s="48" t="n">
        <x:f>AM11*'Assumptions'!$I$86</x:f>
        <x:v>19279.166666666668</x:v>
      </x:c>
      <x:c r="AN17" s="48" t="n">
        <x:f>AN11*'Assumptions'!$J$86</x:f>
        <x:v>21437.5</x:v>
      </x:c>
      <x:c r="AO17" s="48" t="n">
        <x:f>AO11*'Assumptions'!$J$86</x:f>
        <x:v>22312.5</x:v>
      </x:c>
      <x:c r="AP17" s="48" t="n">
        <x:f>AP11*'Assumptions'!$J$86</x:f>
        <x:v>23187.5</x:v>
      </x:c>
      <x:c r="AQ17" s="48" t="n">
        <x:f>AQ11*'Assumptions'!$J$86</x:f>
        <x:v>24062.5</x:v>
      </x:c>
      <x:c r="AR17" s="48" t="n">
        <x:f>AR11*'Assumptions'!$J$86</x:f>
        <x:v>24937.5</x:v>
      </x:c>
      <x:c r="AS17" s="48" t="n">
        <x:f>AS11*'Assumptions'!$J$86</x:f>
        <x:v>25812.500000000004</x:v>
      </x:c>
      <x:c r="AT17" s="48" t="n">
        <x:f>AT11*'Assumptions'!$J$86</x:f>
        <x:v>26687.499999999996</x:v>
      </x:c>
      <x:c r="AU17" s="48" t="n">
        <x:f>AU11*'Assumptions'!$J$86</x:f>
        <x:v>27562.5</x:v>
      </x:c>
      <x:c r="AV17" s="48" t="n">
        <x:f>AV11*'Assumptions'!$J$86</x:f>
        <x:v>28437.500000000004</x:v>
      </x:c>
      <x:c r="AW17" s="48" t="n">
        <x:f>AW11*'Assumptions'!$J$86</x:f>
        <x:v>29312.499999999996</x:v>
      </x:c>
      <x:c r="AX17" s="48" t="n">
        <x:f>AX11*'Assumptions'!$J$86</x:f>
        <x:v>30187.5</x:v>
      </x:c>
      <x:c r="AY17" s="48" t="n">
        <x:f>AY11*'Assumptions'!$J$86</x:f>
        <x:v>31062.500000000004</x:v>
      </x:c>
      <x:c r="AZ17" s="48" t="n">
        <x:f>AZ11*'Assumptions'!$K$86</x:f>
        <x:v>34133.333333333336</x:v>
      </x:c>
      <x:c r="BA17" s="48" t="n">
        <x:f>BA11*'Assumptions'!$K$86</x:f>
        <x:v>35200</x:v>
      </x:c>
      <x:c r="BB17" s="48" t="n">
        <x:f>BB11*'Assumptions'!$K$86</x:f>
        <x:v>36266.666666666664</x:v>
      </x:c>
      <x:c r="BC17" s="48" t="n">
        <x:f>BC11*'Assumptions'!$K$86</x:f>
        <x:v>37333.333333333336</x:v>
      </x:c>
      <x:c r="BD17" s="48" t="n">
        <x:f>BD11*'Assumptions'!$K$86</x:f>
        <x:v>38400</x:v>
      </x:c>
      <x:c r="BE17" s="48" t="n">
        <x:f>BE11*'Assumptions'!$K$86</x:f>
        <x:v>39466.666666666664</x:v>
      </x:c>
      <x:c r="BF17" s="48" t="n">
        <x:f>BF11*'Assumptions'!$K$86</x:f>
        <x:v>40533.33333333334</x:v>
      </x:c>
      <x:c r="BG17" s="48" t="n">
        <x:f>BG11*'Assumptions'!$K$86</x:f>
        <x:v>41600</x:v>
      </x:c>
      <x:c r="BH17" s="48" t="n">
        <x:f>BH11*'Assumptions'!$K$86</x:f>
        <x:v>42666.666666666664</x:v>
      </x:c>
      <x:c r="BI17" s="48" t="n">
        <x:f>BI11*'Assumptions'!$K$86</x:f>
        <x:v>43733.33333333334</x:v>
      </x:c>
      <x:c r="BJ17" s="48" t="n">
        <x:f>BJ11*'Assumptions'!$K$86</x:f>
        <x:v>44800</x:v>
      </x:c>
      <x:c r="BK17" s="48" t="n">
        <x:f>BK11*'Assumptions'!$K$86</x:f>
        <x:v>45866.666666666664</x:v>
      </x:c>
      <x:c r="BL17" s="1"/>
    </x:row>
    <x:row r="18" ht="21" customHeight="1">
      <x:c r="A18" s="1"/>
      <x:c r="B18" s="1"/>
      <x:c r="C18" s="1" t="str">
        <x:v>Paid principal volume</x:v>
      </x:c>
      <x:c r="D18" s="48" t="n">
        <x:f>D17*'Assumptions'!$G$80</x:f>
        <x:v>0</x:v>
      </x:c>
      <x:c r="E18" s="48" t="n">
        <x:f>E17*'Assumptions'!$G$80</x:f>
        <x:v>0</x:v>
      </x:c>
      <x:c r="F18" s="48" t="n">
        <x:f>F17*'Assumptions'!$G$80</x:f>
        <x:v>0</x:v>
      </x:c>
      <x:c r="G18" s="48" t="n">
        <x:f>G17*'Assumptions'!$G$80</x:f>
        <x:v>0</x:v>
      </x:c>
      <x:c r="H18" s="48" t="n">
        <x:f>H17*'Assumptions'!$G$80</x:f>
        <x:v>0</x:v>
      </x:c>
      <x:c r="I18" s="48" t="n">
        <x:f>I17*'Assumptions'!$G$80</x:f>
        <x:v>102857.14285714284</x:v>
      </x:c>
      <x:c r="J18" s="48" t="n">
        <x:f>J17*'Assumptions'!$G$80</x:f>
        <x:v>308571.4285714286</x:v>
      </x:c>
      <x:c r="K18" s="48" t="n">
        <x:f>K17*'Assumptions'!$G$80</x:f>
        <x:v>514285.7142857142</x:v>
      </x:c>
      <x:c r="L18" s="48" t="n">
        <x:f>L17*'Assumptions'!$G$80</x:f>
        <x:v>720000</x:v>
      </x:c>
      <x:c r="M18" s="48" t="n">
        <x:f>M17*'Assumptions'!$G$80</x:f>
        <x:v>925714.2857142857</x:v>
      </x:c>
      <x:c r="N18" s="48" t="n">
        <x:f>N17*'Assumptions'!$G$80</x:f>
        <x:v>1131428.5714285711</x:v>
      </x:c>
      <x:c r="O18" s="48" t="n">
        <x:f>O17*'Assumptions'!$G$80</x:f>
        <x:v>1337142.8571428568</x:v>
      </x:c>
      <x:c r="P18" s="48" t="n">
        <x:f>P17*'Assumptions'!$H$80</x:f>
        <x:v>1784114.5833333335</x:v>
      </x:c>
      <x:c r="Q18" s="48" t="n">
        <x:f>Q17*'Assumptions'!$H$80</x:f>
        <x:v>2037343.75</x:v>
      </x:c>
      <x:c r="R18" s="48" t="n">
        <x:f>R17*'Assumptions'!$H$80</x:f>
        <x:v>2290572.9166666665</x:v>
      </x:c>
      <x:c r="S18" s="48" t="n">
        <x:f>S17*'Assumptions'!$H$80</x:f>
        <x:v>2543802.083333333</x:v>
      </x:c>
      <x:c r="T18" s="48" t="n">
        <x:f>T17*'Assumptions'!$H$80</x:f>
        <x:v>2797031.25</x:v>
      </x:c>
      <x:c r="U18" s="48" t="n">
        <x:f>U17*'Assumptions'!$H$80</x:f>
        <x:v>3050260.4166666665</x:v>
      </x:c>
      <x:c r="V18" s="48" t="n">
        <x:f>V17*'Assumptions'!$H$80</x:f>
        <x:v>3303489.5833333335</x:v>
      </x:c>
      <x:c r="W18" s="48" t="n">
        <x:f>W17*'Assumptions'!$H$80</x:f>
        <x:v>3556718.75</x:v>
      </x:c>
      <x:c r="X18" s="48" t="n">
        <x:f>X17*'Assumptions'!$H$80</x:f>
        <x:v>3809947.916666667</x:v>
      </x:c>
      <x:c r="Y18" s="48" t="n">
        <x:f>Y17*'Assumptions'!$H$80</x:f>
        <x:v>4063177.083333333</x:v>
      </x:c>
      <x:c r="Z18" s="48" t="n">
        <x:f>Z17*'Assumptions'!$H$80</x:f>
        <x:v>4316406.25</x:v>
      </x:c>
      <x:c r="AA18" s="48" t="n">
        <x:f>AA17*'Assumptions'!$H$80</x:f>
        <x:v>4569635.416666667</x:v>
      </x:c>
      <x:c r="AB18" s="48" t="n">
        <x:f>AB17*'Assumptions'!$I$80</x:f>
        <x:v>5499375</x:v>
      </x:c>
      <x:c r="AC18" s="48" t="n">
        <x:f>AC17*'Assumptions'!$I$80</x:f>
        <x:v>5788125</x:v>
      </x:c>
      <x:c r="AD18" s="48" t="n">
        <x:f>AD17*'Assumptions'!$I$80</x:f>
        <x:v>6076874.999999999</x:v>
      </x:c>
      <x:c r="AE18" s="48" t="n">
        <x:f>AE17*'Assumptions'!$I$80</x:f>
        <x:v>6365625</x:v>
      </x:c>
      <x:c r="AF18" s="48" t="n">
        <x:f>AF17*'Assumptions'!$I$80</x:f>
        <x:v>6654374.999999999</x:v>
      </x:c>
      <x:c r="AG18" s="48" t="n">
        <x:f>AG17*'Assumptions'!$I$80</x:f>
        <x:v>6943124.999999999</x:v>
      </x:c>
      <x:c r="AH18" s="48" t="n">
        <x:f>AH17*'Assumptions'!$I$80</x:f>
        <x:v>7231875</x:v>
      </x:c>
      <x:c r="AI18" s="48" t="n">
        <x:f>AI17*'Assumptions'!$I$80</x:f>
        <x:v>7520625</x:v>
      </x:c>
      <x:c r="AJ18" s="48" t="n">
        <x:f>AJ17*'Assumptions'!$I$80</x:f>
        <x:v>7809374.999999999</x:v>
      </x:c>
      <x:c r="AK18" s="48" t="n">
        <x:f>AK17*'Assumptions'!$I$80</x:f>
        <x:v>8098124.999999999</x:v>
      </x:c>
      <x:c r="AL18" s="48" t="n">
        <x:f>AL17*'Assumptions'!$I$80</x:f>
        <x:v>8386875</x:v>
      </x:c>
      <x:c r="AM18" s="48" t="n">
        <x:f>AM17*'Assumptions'!$I$80</x:f>
        <x:v>8675625</x:v>
      </x:c>
      <x:c r="AN18" s="48" t="n">
        <x:f>AN17*'Assumptions'!$J$80</x:f>
        <x:v>10182812.5</x:v>
      </x:c>
      <x:c r="AO18" s="48" t="n">
        <x:f>AO17*'Assumptions'!$J$80</x:f>
        <x:v>10598437.5</x:v>
      </x:c>
      <x:c r="AP18" s="48" t="n">
        <x:f>AP17*'Assumptions'!$J$80</x:f>
        <x:v>11014062.5</x:v>
      </x:c>
      <x:c r="AQ18" s="48" t="n">
        <x:f>AQ17*'Assumptions'!$J$80</x:f>
        <x:v>11429687.5</x:v>
      </x:c>
      <x:c r="AR18" s="48" t="n">
        <x:f>AR17*'Assumptions'!$J$80</x:f>
        <x:v>11845312.5</x:v>
      </x:c>
      <x:c r="AS18" s="48" t="n">
        <x:f>AS17*'Assumptions'!$J$80</x:f>
        <x:v>12260937.500000002</x:v>
      </x:c>
      <x:c r="AT18" s="48" t="n">
        <x:f>AT17*'Assumptions'!$J$80</x:f>
        <x:v>12676562.499999998</x:v>
      </x:c>
      <x:c r="AU18" s="48" t="n">
        <x:f>AU17*'Assumptions'!$J$80</x:f>
        <x:v>13092187.5</x:v>
      </x:c>
      <x:c r="AV18" s="48" t="n">
        <x:f>AV17*'Assumptions'!$J$80</x:f>
        <x:v>13507812.500000002</x:v>
      </x:c>
      <x:c r="AW18" s="48" t="n">
        <x:f>AW17*'Assumptions'!$J$80</x:f>
        <x:v>13923437.499999998</x:v>
      </x:c>
      <x:c r="AX18" s="48" t="n">
        <x:f>AX17*'Assumptions'!$J$80</x:f>
        <x:v>14339062.5</x:v>
      </x:c>
      <x:c r="AY18" s="48" t="n">
        <x:f>AY17*'Assumptions'!$J$80</x:f>
        <x:v>14754687.500000002</x:v>
      </x:c>
      <x:c r="AZ18" s="48" t="n">
        <x:f>AZ17*'Assumptions'!$K$80</x:f>
        <x:v>17066666.666666668</x:v>
      </x:c>
      <x:c r="BA18" s="48" t="n">
        <x:f>BA17*'Assumptions'!$K$80</x:f>
        <x:v>17600000</x:v>
      </x:c>
      <x:c r="BB18" s="48" t="n">
        <x:f>BB17*'Assumptions'!$K$80</x:f>
        <x:v>18133333.333333332</x:v>
      </x:c>
      <x:c r="BC18" s="48" t="n">
        <x:f>BC17*'Assumptions'!$K$80</x:f>
        <x:v>18666666.666666668</x:v>
      </x:c>
      <x:c r="BD18" s="48" t="n">
        <x:f>BD17*'Assumptions'!$K$80</x:f>
        <x:v>19200000</x:v>
      </x:c>
      <x:c r="BE18" s="48" t="n">
        <x:f>BE17*'Assumptions'!$K$80</x:f>
        <x:v>19733333.333333332</x:v>
      </x:c>
      <x:c r="BF18" s="48" t="n">
        <x:f>BF17*'Assumptions'!$K$80</x:f>
        <x:v>20266666.66666667</x:v>
      </x:c>
      <x:c r="BG18" s="48" t="n">
        <x:f>BG17*'Assumptions'!$K$80</x:f>
        <x:v>20800000</x:v>
      </x:c>
      <x:c r="BH18" s="48" t="n">
        <x:f>BH17*'Assumptions'!$K$80</x:f>
        <x:v>21333333.333333332</x:v>
      </x:c>
      <x:c r="BI18" s="48" t="n">
        <x:f>BI17*'Assumptions'!$K$80</x:f>
        <x:v>21866666.66666667</x:v>
      </x:c>
      <x:c r="BJ18" s="48" t="n">
        <x:f>BJ17*'Assumptions'!$K$80</x:f>
        <x:v>22400000</x:v>
      </x:c>
      <x:c r="BK18" s="48" t="n">
        <x:f>BK17*'Assumptions'!$K$80</x:f>
        <x:v>22933333.333333332</x:v>
      </x:c>
      <x:c r="BL18" s="1"/>
    </x:row>
    <x:row r="19" ht="21" customHeight="1">
      <x:c r="A19" s="1"/>
      <x:c r="B19" s="1"/>
      <x:c r="C19" s="1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  <x:c r="X19" s="50"/>
      <x:c r="Y19" s="50"/>
      <x:c r="Z19" s="50"/>
      <x:c r="AA19" s="50"/>
      <x:c r="AB19" s="50"/>
      <x:c r="AC19" s="50"/>
      <x:c r="AD19" s="50"/>
      <x:c r="AE19" s="50"/>
      <x:c r="AF19" s="50"/>
      <x:c r="AG19" s="50"/>
      <x:c r="AH19" s="50"/>
      <x:c r="AI19" s="50"/>
      <x:c r="AJ19" s="50"/>
      <x:c r="AK19" s="50"/>
      <x:c r="AL19" s="50"/>
      <x:c r="AM19" s="50"/>
      <x:c r="AN19" s="50"/>
      <x:c r="AO19" s="50"/>
      <x:c r="AP19" s="50"/>
      <x:c r="AQ19" s="50"/>
      <x:c r="AR19" s="50"/>
      <x:c r="AS19" s="50"/>
      <x:c r="AT19" s="50"/>
      <x:c r="AU19" s="50"/>
      <x:c r="AV19" s="50"/>
      <x:c r="AW19" s="50"/>
      <x:c r="AX19" s="50"/>
      <x:c r="AY19" s="50"/>
      <x:c r="AZ19" s="50"/>
      <x:c r="BA19" s="50"/>
      <x:c r="BB19" s="50"/>
      <x:c r="BC19" s="50"/>
      <x:c r="BD19" s="50"/>
      <x:c r="BE19" s="50"/>
      <x:c r="BF19" s="50"/>
      <x:c r="BG19" s="50"/>
      <x:c r="BH19" s="50"/>
      <x:c r="BI19" s="50"/>
      <x:c r="BJ19" s="50"/>
      <x:c r="BK19" s="50"/>
      <x:c r="BL19" s="1"/>
    </x:row>
    <x:row r="20" ht="21" customHeight="1">
      <x:c r="A20" s="1"/>
      <x:c r="B20" s="1"/>
      <x:c r="C20" s="1" t="str">
        <x:v>Total customer fee pool</x:v>
      </x:c>
      <x:c r="D20" s="48" t="n">
        <x:f>D18*'Assumptions'!$G$92+D17*'Assumptions'!$G$98+D15*'Assumptions'!$G$122</x:f>
        <x:v>0</x:v>
      </x:c>
      <x:c r="E20" s="48" t="n">
        <x:f>E18*'Assumptions'!$G$92+E17*'Assumptions'!$G$98+E15*'Assumptions'!$G$122</x:f>
        <x:v>0</x:v>
      </x:c>
      <x:c r="F20" s="48" t="n">
        <x:f>F18*'Assumptions'!$G$92+F17*'Assumptions'!$G$98+F15*'Assumptions'!$G$122</x:f>
        <x:v>0</x:v>
      </x:c>
      <x:c r="G20" s="48" t="n">
        <x:f>G18*'Assumptions'!$G$92+G17*'Assumptions'!$G$98+G15*'Assumptions'!$G$122</x:f>
        <x:v>0</x:v>
      </x:c>
      <x:c r="H20" s="48" t="n">
        <x:f>H18*'Assumptions'!$G$92+H17*'Assumptions'!$G$98+H15*'Assumptions'!$G$122</x:f>
        <x:v>0</x:v>
      </x:c>
      <x:c r="I20" s="48" t="n">
        <x:f>I18*'Assumptions'!$G$92+I17*'Assumptions'!$G$98+I15*'Assumptions'!$G$122</x:f>
        <x:v>2428.571428571428</x:v>
      </x:c>
      <x:c r="J20" s="48" t="n">
        <x:f>J18*'Assumptions'!$G$92+J17*'Assumptions'!$G$98+J15*'Assumptions'!$G$122</x:f>
        <x:v>7285.714285714286</x:v>
      </x:c>
      <x:c r="K20" s="48" t="n">
        <x:f>K18*'Assumptions'!$G$92+K17*'Assumptions'!$G$98+K15*'Assumptions'!$G$122</x:f>
        <x:v>12142.85714285714</x:v>
      </x:c>
      <x:c r="L20" s="48" t="n">
        <x:f>L18*'Assumptions'!$G$92+L17*'Assumptions'!$G$98+L15*'Assumptions'!$G$122</x:f>
        <x:v>17000</x:v>
      </x:c>
      <x:c r="M20" s="48" t="n">
        <x:f>M18*'Assumptions'!$G$92+M17*'Assumptions'!$G$98+M15*'Assumptions'!$G$122</x:f>
        <x:v>21857.142857142855</x:v>
      </x:c>
      <x:c r="N20" s="48" t="n">
        <x:f>N18*'Assumptions'!$G$92+N17*'Assumptions'!$G$98+N15*'Assumptions'!$G$122</x:f>
        <x:v>26714.285714285706</x:v>
      </x:c>
      <x:c r="O20" s="48" t="n">
        <x:f>O18*'Assumptions'!$G$92+O17*'Assumptions'!$G$98+O15*'Assumptions'!$G$122</x:f>
        <x:v>31571.428571428565</x:v>
      </x:c>
      <x:c r="P20" s="48" t="n">
        <x:f>P18*'Assumptions'!$H$92+P17*'Assumptions'!$H$98+P15*'Assumptions'!$H$122</x:f>
        <x:v>41105.46875</x:v>
      </x:c>
      <x:c r="Q20" s="48" t="n">
        <x:f>Q18*'Assumptions'!$H$92+Q17*'Assumptions'!$H$98+Q15*'Assumptions'!$H$122</x:f>
        <x:v>46991.40625</x:v>
      </x:c>
      <x:c r="R20" s="48" t="n">
        <x:f>R18*'Assumptions'!$H$92+R17*'Assumptions'!$H$98+R15*'Assumptions'!$H$122</x:f>
        <x:v>52877.34375</x:v>
      </x:c>
      <x:c r="S20" s="48" t="n">
        <x:f>S18*'Assumptions'!$H$92+S17*'Assumptions'!$H$98+S15*'Assumptions'!$H$122</x:f>
        <x:v>58763.28124999999</x:v>
      </x:c>
      <x:c r="T20" s="48" t="n">
        <x:f>T18*'Assumptions'!$H$92+T17*'Assumptions'!$H$98+T15*'Assumptions'!$H$122</x:f>
        <x:v>64649.21875</x:v>
      </x:c>
      <x:c r="U20" s="48" t="n">
        <x:f>U18*'Assumptions'!$H$92+U17*'Assumptions'!$H$98+U15*'Assumptions'!$H$122</x:f>
        <x:v>70535.15625</x:v>
      </x:c>
      <x:c r="V20" s="48" t="n">
        <x:f>V18*'Assumptions'!$H$92+V17*'Assumptions'!$H$98+V15*'Assumptions'!$H$122</x:f>
        <x:v>76421.09375</x:v>
      </x:c>
      <x:c r="W20" s="48" t="n">
        <x:f>W18*'Assumptions'!$H$92+W17*'Assumptions'!$H$98+W15*'Assumptions'!$H$122</x:f>
        <x:v>82307.03125</x:v>
      </x:c>
      <x:c r="X20" s="48" t="n">
        <x:f>X18*'Assumptions'!$H$92+X17*'Assumptions'!$H$98+X15*'Assumptions'!$H$122</x:f>
        <x:v>88192.96875</x:v>
      </x:c>
      <x:c r="Y20" s="48" t="n">
        <x:f>Y18*'Assumptions'!$H$92+Y17*'Assumptions'!$H$98+Y15*'Assumptions'!$H$122</x:f>
        <x:v>94078.90625</x:v>
      </x:c>
      <x:c r="Z20" s="48" t="n">
        <x:f>Z18*'Assumptions'!$H$92+Z17*'Assumptions'!$H$98+Z15*'Assumptions'!$H$122</x:f>
        <x:v>99964.84375</x:v>
      </x:c>
      <x:c r="AA20" s="48" t="n">
        <x:f>AA18*'Assumptions'!$H$92+AA17*'Assumptions'!$H$98+AA15*'Assumptions'!$H$122</x:f>
        <x:v>105850.78125</x:v>
      </x:c>
      <x:c r="AB20" s="48" t="n">
        <x:f>AB18*'Assumptions'!$I$92+AB17*'Assumptions'!$I$98+AB15*'Assumptions'!$I$122</x:f>
        <x:v>124553.125</x:v>
      </x:c>
      <x:c r="AC20" s="48" t="n">
        <x:f>AC18*'Assumptions'!$I$92+AC17*'Assumptions'!$I$98+AC15*'Assumptions'!$I$122</x:f>
        <x:v>131209.375</x:v>
      </x:c>
      <x:c r="AD20" s="48" t="n">
        <x:f>AD18*'Assumptions'!$I$92+AD17*'Assumptions'!$I$98+AD15*'Assumptions'!$I$122</x:f>
        <x:v>137865.62499999997</x:v>
      </x:c>
      <x:c r="AE20" s="48" t="n">
        <x:f>AE18*'Assumptions'!$I$92+AE17*'Assumptions'!$I$98+AE15*'Assumptions'!$I$122</x:f>
        <x:v>144521.875</x:v>
      </x:c>
      <x:c r="AF20" s="48" t="n">
        <x:f>AF18*'Assumptions'!$I$92+AF17*'Assumptions'!$I$98+AF15*'Assumptions'!$I$122</x:f>
        <x:v>151178.12499999997</x:v>
      </x:c>
      <x:c r="AG20" s="48" t="n">
        <x:f>AG18*'Assumptions'!$I$92+AG17*'Assumptions'!$I$98+AG15*'Assumptions'!$I$122</x:f>
        <x:v>157834.37499999997</x:v>
      </x:c>
      <x:c r="AH20" s="48" t="n">
        <x:f>AH18*'Assumptions'!$I$92+AH17*'Assumptions'!$I$98+AH15*'Assumptions'!$I$122</x:f>
        <x:v>164490.625</x:v>
      </x:c>
      <x:c r="AI20" s="48" t="n">
        <x:f>AI18*'Assumptions'!$I$92+AI17*'Assumptions'!$I$98+AI15*'Assumptions'!$I$122</x:f>
        <x:v>171146.875</x:v>
      </x:c>
      <x:c r="AJ20" s="48" t="n">
        <x:f>AJ18*'Assumptions'!$I$92+AJ17*'Assumptions'!$I$98+AJ15*'Assumptions'!$I$122</x:f>
        <x:v>177803.12499999997</x:v>
      </x:c>
      <x:c r="AK20" s="48" t="n">
        <x:f>AK18*'Assumptions'!$I$92+AK17*'Assumptions'!$I$98+AK15*'Assumptions'!$I$122</x:f>
        <x:v>184459.375</x:v>
      </x:c>
      <x:c r="AL20" s="48" t="n">
        <x:f>AL18*'Assumptions'!$I$92+AL17*'Assumptions'!$I$98+AL15*'Assumptions'!$I$122</x:f>
        <x:v>191115.625</x:v>
      </x:c>
      <x:c r="AM20" s="48" t="n">
        <x:f>AM18*'Assumptions'!$I$92+AM17*'Assumptions'!$I$98+AM15*'Assumptions'!$I$122</x:f>
        <x:v>197771.875</x:v>
      </x:c>
      <x:c r="AN20" s="48" t="n">
        <x:f>AN18*'Assumptions'!$J$92+AN17*'Assumptions'!$J$98+AN15*'Assumptions'!$J$122</x:f>
        <x:v>227304.6875</x:v>
      </x:c>
      <x:c r="AO20" s="48" t="n">
        <x:f>AO18*'Assumptions'!$J$92+AO17*'Assumptions'!$J$98+AO15*'Assumptions'!$J$122</x:f>
        <x:v>236664.0625</x:v>
      </x:c>
      <x:c r="AP20" s="48" t="n">
        <x:f>AP18*'Assumptions'!$J$92+AP17*'Assumptions'!$J$98+AP15*'Assumptions'!$J$122</x:f>
        <x:v>246023.4375</x:v>
      </x:c>
      <x:c r="AQ20" s="48" t="n">
        <x:f>AQ18*'Assumptions'!$J$92+AQ17*'Assumptions'!$J$98+AQ15*'Assumptions'!$J$122</x:f>
        <x:v>255382.8125</x:v>
      </x:c>
      <x:c r="AR20" s="48" t="n">
        <x:f>AR18*'Assumptions'!$J$92+AR17*'Assumptions'!$J$98+AR15*'Assumptions'!$J$122</x:f>
        <x:v>264742.1875</x:v>
      </x:c>
      <x:c r="AS20" s="48" t="n">
        <x:f>AS18*'Assumptions'!$J$92+AS17*'Assumptions'!$J$98+AS15*'Assumptions'!$J$122</x:f>
        <x:v>274101.56250000006</x:v>
      </x:c>
      <x:c r="AT20" s="48" t="n">
        <x:f>AT18*'Assumptions'!$J$92+AT17*'Assumptions'!$J$98+AT15*'Assumptions'!$J$122</x:f>
        <x:v>283460.93749999994</x:v>
      </x:c>
      <x:c r="AU20" s="48" t="n">
        <x:f>AU18*'Assumptions'!$J$92+AU17*'Assumptions'!$J$98+AU15*'Assumptions'!$J$122</x:f>
        <x:v>292820.3125</x:v>
      </x:c>
      <x:c r="AV20" s="48" t="n">
        <x:f>AV18*'Assumptions'!$J$92+AV17*'Assumptions'!$J$98+AV15*'Assumptions'!$J$122</x:f>
        <x:v>302179.68750000006</x:v>
      </x:c>
      <x:c r="AW20" s="48" t="n">
        <x:f>AW18*'Assumptions'!$J$92+AW17*'Assumptions'!$J$98+AW15*'Assumptions'!$J$122</x:f>
        <x:v>311539.06249999994</x:v>
      </x:c>
      <x:c r="AX20" s="48" t="n">
        <x:f>AX18*'Assumptions'!$J$92+AX17*'Assumptions'!$J$98+AX15*'Assumptions'!$J$122</x:f>
        <x:v>320898.4375</x:v>
      </x:c>
      <x:c r="AY20" s="48" t="n">
        <x:f>AY18*'Assumptions'!$J$92+AY17*'Assumptions'!$J$98+AY15*'Assumptions'!$J$122</x:f>
        <x:v>330257.81250000006</x:v>
      </x:c>
      <x:c r="AZ20" s="48" t="n">
        <x:f>AZ18*'Assumptions'!$K$92+AZ17*'Assumptions'!$K$98+AZ15*'Assumptions'!$K$122</x:f>
        <x:v>374733.3333333333</x:v>
      </x:c>
      <x:c r="BA20" s="48" t="n">
        <x:f>BA18*'Assumptions'!$K$92+BA17*'Assumptions'!$K$98+BA15*'Assumptions'!$K$122</x:f>
        <x:v>386600</x:v>
      </x:c>
      <x:c r="BB20" s="48" t="n">
        <x:f>BB18*'Assumptions'!$K$92+BB17*'Assumptions'!$K$98+BB15*'Assumptions'!$K$122</x:f>
        <x:v>398466.6666666667</x:v>
      </x:c>
      <x:c r="BC20" s="48" t="n">
        <x:f>BC18*'Assumptions'!$K$92+BC17*'Assumptions'!$K$98+BC15*'Assumptions'!$K$122</x:f>
        <x:v>410333.3333333333</x:v>
      </x:c>
      <x:c r="BD20" s="48" t="n">
        <x:f>BD18*'Assumptions'!$K$92+BD17*'Assumptions'!$K$98+BD15*'Assumptions'!$K$122</x:f>
        <x:v>422200</x:v>
      </x:c>
      <x:c r="BE20" s="48" t="n">
        <x:f>BE18*'Assumptions'!$K$92+BE17*'Assumptions'!$K$98+BE15*'Assumptions'!$K$122</x:f>
        <x:v>434066.6666666666</x:v>
      </x:c>
      <x:c r="BF20" s="48" t="n">
        <x:f>BF18*'Assumptions'!$K$92+BF17*'Assumptions'!$K$98+BF15*'Assumptions'!$K$122</x:f>
        <x:v>445933.33333333343</x:v>
      </x:c>
      <x:c r="BG20" s="48" t="n">
        <x:f>BG18*'Assumptions'!$K$92+BG17*'Assumptions'!$K$98+BG15*'Assumptions'!$K$122</x:f>
        <x:v>457800</x:v>
      </x:c>
      <x:c r="BH20" s="48" t="n">
        <x:f>BH18*'Assumptions'!$K$92+BH17*'Assumptions'!$K$98+BH15*'Assumptions'!$K$122</x:f>
        <x:v>469666.6666666666</x:v>
      </x:c>
      <x:c r="BI20" s="48" t="n">
        <x:f>BI18*'Assumptions'!$K$92+BI17*'Assumptions'!$K$98+BI15*'Assumptions'!$K$122</x:f>
        <x:v>481533.33333333343</x:v>
      </x:c>
      <x:c r="BJ20" s="48" t="n">
        <x:f>BJ18*'Assumptions'!$K$92+BJ17*'Assumptions'!$K$98+BJ15*'Assumptions'!$K$122</x:f>
        <x:v>493400</x:v>
      </x:c>
      <x:c r="BK20" s="48" t="n">
        <x:f>BK18*'Assumptions'!$K$92+BK17*'Assumptions'!$K$98+BK15*'Assumptions'!$K$122</x:f>
        <x:v>505266.6666666666</x:v>
      </x:c>
      <x:c r="BL20" s="1"/>
    </x:row>
    <x:row r="21" ht="21" customHeight="1">
      <x:c r="A21" s="1"/>
      <x:c r="B21" s="1"/>
      <x:c r="C21" s="1" t="str">
        <x:v>Bank share</x:v>
      </x:c>
      <x:c r="D21" s="48" t="n">
        <x:f>D20*'Assumptions'!$D$50</x:f>
        <x:v>0</x:v>
      </x:c>
      <x:c r="E21" s="48" t="n">
        <x:f>E20*'Assumptions'!$D$50</x:f>
        <x:v>0</x:v>
      </x:c>
      <x:c r="F21" s="48" t="n">
        <x:f>F20*'Assumptions'!$D$50</x:f>
        <x:v>0</x:v>
      </x:c>
      <x:c r="G21" s="48" t="n">
        <x:f>G20*'Assumptions'!$D$50</x:f>
        <x:v>0</x:v>
      </x:c>
      <x:c r="H21" s="48" t="n">
        <x:f>H20*'Assumptions'!$D$50</x:f>
        <x:v>0</x:v>
      </x:c>
      <x:c r="I21" s="48" t="n">
        <x:f>I20*'Assumptions'!$D$50</x:f>
        <x:v>485.7142857142856</x:v>
      </x:c>
      <x:c r="J21" s="48" t="n">
        <x:f>J20*'Assumptions'!$D$50</x:f>
        <x:v>1457.1428571428573</x:v>
      </x:c>
      <x:c r="K21" s="48" t="n">
        <x:f>K20*'Assumptions'!$D$50</x:f>
        <x:v>2428.571428571428</x:v>
      </x:c>
      <x:c r="L21" s="48" t="n">
        <x:f>L20*'Assumptions'!$D$50</x:f>
        <x:v>3400</x:v>
      </x:c>
      <x:c r="M21" s="48" t="n">
        <x:f>M20*'Assumptions'!$D$50</x:f>
        <x:v>4371.428571428572</x:v>
      </x:c>
      <x:c r="N21" s="48" t="n">
        <x:f>N20*'Assumptions'!$D$50</x:f>
        <x:v>5342.857142857141</x:v>
      </x:c>
      <x:c r="O21" s="48" t="n">
        <x:f>O20*'Assumptions'!$D$50</x:f>
        <x:v>6314.285714285714</x:v>
      </x:c>
      <x:c r="P21" s="48" t="n">
        <x:f>P20*'Assumptions'!$D$50</x:f>
        <x:v>8221.09375</x:v>
      </x:c>
      <x:c r="Q21" s="48" t="n">
        <x:f>Q20*'Assumptions'!$D$50</x:f>
        <x:v>9398.28125</x:v>
      </x:c>
      <x:c r="R21" s="48" t="n">
        <x:f>R20*'Assumptions'!$D$50</x:f>
        <x:v>10575.46875</x:v>
      </x:c>
      <x:c r="S21" s="48" t="n">
        <x:f>S20*'Assumptions'!$D$50</x:f>
        <x:v>11752.65625</x:v>
      </x:c>
      <x:c r="T21" s="48" t="n">
        <x:f>T20*'Assumptions'!$D$50</x:f>
        <x:v>12929.84375</x:v>
      </x:c>
      <x:c r="U21" s="48" t="n">
        <x:f>U20*'Assumptions'!$D$50</x:f>
        <x:v>14107.03125</x:v>
      </x:c>
      <x:c r="V21" s="48" t="n">
        <x:f>V20*'Assumptions'!$D$50</x:f>
        <x:v>15284.21875</x:v>
      </x:c>
      <x:c r="W21" s="48" t="n">
        <x:f>W20*'Assumptions'!$D$50</x:f>
        <x:v>16461.40625</x:v>
      </x:c>
      <x:c r="X21" s="48" t="n">
        <x:f>X20*'Assumptions'!$D$50</x:f>
        <x:v>17638.59375</x:v>
      </x:c>
      <x:c r="Y21" s="48" t="n">
        <x:f>Y20*'Assumptions'!$D$50</x:f>
        <x:v>18815.78125</x:v>
      </x:c>
      <x:c r="Z21" s="48" t="n">
        <x:f>Z20*'Assumptions'!$D$50</x:f>
        <x:v>19992.96875</x:v>
      </x:c>
      <x:c r="AA21" s="48" t="n">
        <x:f>AA20*'Assumptions'!$D$50</x:f>
        <x:v>21170.15625</x:v>
      </x:c>
      <x:c r="AB21" s="48" t="n">
        <x:f>AB20*'Assumptions'!$D$50</x:f>
        <x:v>24910.625</x:v>
      </x:c>
      <x:c r="AC21" s="48" t="n">
        <x:f>AC20*'Assumptions'!$D$50</x:f>
        <x:v>26241.875</x:v>
      </x:c>
      <x:c r="AD21" s="48" t="n">
        <x:f>AD20*'Assumptions'!$D$50</x:f>
        <x:v>27573.124999999996</x:v>
      </x:c>
      <x:c r="AE21" s="48" t="n">
        <x:f>AE20*'Assumptions'!$D$50</x:f>
        <x:v>28904.375</x:v>
      </x:c>
      <x:c r="AF21" s="48" t="n">
        <x:f>AF20*'Assumptions'!$D$50</x:f>
        <x:v>30235.624999999996</x:v>
      </x:c>
      <x:c r="AG21" s="48" t="n">
        <x:f>AG20*'Assumptions'!$D$50</x:f>
        <x:v>31566.874999999996</x:v>
      </x:c>
      <x:c r="AH21" s="48" t="n">
        <x:f>AH20*'Assumptions'!$D$50</x:f>
        <x:v>32898.125</x:v>
      </x:c>
      <x:c r="AI21" s="48" t="n">
        <x:f>AI20*'Assumptions'!$D$50</x:f>
        <x:v>34229.375</x:v>
      </x:c>
      <x:c r="AJ21" s="48" t="n">
        <x:f>AJ20*'Assumptions'!$D$50</x:f>
        <x:v>35560.62499999999</x:v>
      </x:c>
      <x:c r="AK21" s="48" t="n">
        <x:f>AK20*'Assumptions'!$D$50</x:f>
        <x:v>36891.875</x:v>
      </x:c>
      <x:c r="AL21" s="48" t="n">
        <x:f>AL20*'Assumptions'!$D$50</x:f>
        <x:v>38223.125</x:v>
      </x:c>
      <x:c r="AM21" s="48" t="n">
        <x:f>AM20*'Assumptions'!$D$50</x:f>
        <x:v>39554.375</x:v>
      </x:c>
      <x:c r="AN21" s="48" t="n">
        <x:f>AN20*'Assumptions'!$D$50</x:f>
        <x:v>45460.9375</x:v>
      </x:c>
      <x:c r="AO21" s="48" t="n">
        <x:f>AO20*'Assumptions'!$D$50</x:f>
        <x:v>47332.8125</x:v>
      </x:c>
      <x:c r="AP21" s="48" t="n">
        <x:f>AP20*'Assumptions'!$D$50</x:f>
        <x:v>49204.6875</x:v>
      </x:c>
      <x:c r="AQ21" s="48" t="n">
        <x:f>AQ20*'Assumptions'!$D$50</x:f>
        <x:v>51076.5625</x:v>
      </x:c>
      <x:c r="AR21" s="48" t="n">
        <x:f>AR20*'Assumptions'!$D$50</x:f>
        <x:v>52948.4375</x:v>
      </x:c>
      <x:c r="AS21" s="48" t="n">
        <x:f>AS20*'Assumptions'!$D$50</x:f>
        <x:v>54820.312500000015</x:v>
      </x:c>
      <x:c r="AT21" s="48" t="n">
        <x:f>AT20*'Assumptions'!$D$50</x:f>
        <x:v>56692.18749999999</x:v>
      </x:c>
      <x:c r="AU21" s="48" t="n">
        <x:f>AU20*'Assumptions'!$D$50</x:f>
        <x:v>58564.0625</x:v>
      </x:c>
      <x:c r="AV21" s="48" t="n">
        <x:f>AV20*'Assumptions'!$D$50</x:f>
        <x:v>60435.937500000015</x:v>
      </x:c>
      <x:c r="AW21" s="48" t="n">
        <x:f>AW20*'Assumptions'!$D$50</x:f>
        <x:v>62307.81249999999</x:v>
      </x:c>
      <x:c r="AX21" s="48" t="n">
        <x:f>AX20*'Assumptions'!$D$50</x:f>
        <x:v>64179.6875</x:v>
      </x:c>
      <x:c r="AY21" s="48" t="n">
        <x:f>AY20*'Assumptions'!$D$50</x:f>
        <x:v>66051.56250000001</x:v>
      </x:c>
      <x:c r="AZ21" s="48" t="n">
        <x:f>AZ20*'Assumptions'!$D$50</x:f>
        <x:v>74946.66666666667</x:v>
      </x:c>
      <x:c r="BA21" s="48" t="n">
        <x:f>BA20*'Assumptions'!$D$50</x:f>
        <x:v>77320</x:v>
      </x:c>
      <x:c r="BB21" s="48" t="n">
        <x:f>BB20*'Assumptions'!$D$50</x:f>
        <x:v>79693.33333333334</x:v>
      </x:c>
      <x:c r="BC21" s="48" t="n">
        <x:f>BC20*'Assumptions'!$D$50</x:f>
        <x:v>82066.66666666667</x:v>
      </x:c>
      <x:c r="BD21" s="48" t="n">
        <x:f>BD20*'Assumptions'!$D$50</x:f>
        <x:v>84440</x:v>
      </x:c>
      <x:c r="BE21" s="48" t="n">
        <x:f>BE20*'Assumptions'!$D$50</x:f>
        <x:v>86813.33333333333</x:v>
      </x:c>
      <x:c r="BF21" s="48" t="n">
        <x:f>BF20*'Assumptions'!$D$50</x:f>
        <x:v>89186.66666666669</x:v>
      </x:c>
      <x:c r="BG21" s="48" t="n">
        <x:f>BG20*'Assumptions'!$D$50</x:f>
        <x:v>91560</x:v>
      </x:c>
      <x:c r="BH21" s="48" t="n">
        <x:f>BH20*'Assumptions'!$D$50</x:f>
        <x:v>93933.33333333333</x:v>
      </x:c>
      <x:c r="BI21" s="48" t="n">
        <x:f>BI20*'Assumptions'!$D$50</x:f>
        <x:v>96306.66666666669</x:v>
      </x:c>
      <x:c r="BJ21" s="48" t="n">
        <x:f>BJ20*'Assumptions'!$D$50</x:f>
        <x:v>98680</x:v>
      </x:c>
      <x:c r="BK21" s="48" t="n">
        <x:f>BK20*'Assumptions'!$D$50</x:f>
        <x:v>101053.33333333333</x:v>
      </x:c>
      <x:c r="BL21" s="1"/>
    </x:row>
    <x:row r="22" ht="21" customHeight="1">
      <x:c r="A22" s="1"/>
      <x:c r="B22" s="1"/>
      <x:c r="C22" s="54" t="str">
        <x:v>Tazdan retained revenue</x:v>
      </x:c>
      <x:c r="D22" s="55" t="n">
        <x:f>D20-D21</x:f>
        <x:v>0</x:v>
      </x:c>
      <x:c r="E22" s="55" t="n">
        <x:f>E20-E21</x:f>
        <x:v>0</x:v>
      </x:c>
      <x:c r="F22" s="55" t="n">
        <x:f>F20-F21</x:f>
        <x:v>0</x:v>
      </x:c>
      <x:c r="G22" s="55" t="n">
        <x:f>G20-G21</x:f>
        <x:v>0</x:v>
      </x:c>
      <x:c r="H22" s="55" t="n">
        <x:f>H20-H21</x:f>
        <x:v>0</x:v>
      </x:c>
      <x:c r="I22" s="55" t="n">
        <x:f>I20-I21</x:f>
        <x:v>1942.8571428571424</x:v>
      </x:c>
      <x:c r="J22" s="55" t="n">
        <x:f>J20-J21</x:f>
        <x:v>5828.571428571429</x:v>
      </x:c>
      <x:c r="K22" s="55" t="n">
        <x:f>K20-K21</x:f>
        <x:v>9714.285714285712</x:v>
      </x:c>
      <x:c r="L22" s="55" t="n">
        <x:f>L20-L21</x:f>
        <x:v>13600</x:v>
      </x:c>
      <x:c r="M22" s="55" t="n">
        <x:f>M20-M21</x:f>
        <x:v>17485.714285714283</x:v>
      </x:c>
      <x:c r="N22" s="55" t="n">
        <x:f>N20-N21</x:f>
        <x:v>21371.428571428565</x:v>
      </x:c>
      <x:c r="O22" s="55" t="n">
        <x:f>O20-O21</x:f>
        <x:v>25257.14285714285</x:v>
      </x:c>
      <x:c r="P22" s="55" t="n">
        <x:f>P20-P21</x:f>
        <x:v>32884.375</x:v>
      </x:c>
      <x:c r="Q22" s="55" t="n">
        <x:f>Q20-Q21</x:f>
        <x:v>37593.125</x:v>
      </x:c>
      <x:c r="R22" s="55" t="n">
        <x:f>R20-R21</x:f>
        <x:v>42301.875</x:v>
      </x:c>
      <x:c r="S22" s="55" t="n">
        <x:f>S20-S21</x:f>
        <x:v>47010.62499999999</x:v>
      </x:c>
      <x:c r="T22" s="55" t="n">
        <x:f>T20-T21</x:f>
        <x:v>51719.375</x:v>
      </x:c>
      <x:c r="U22" s="55" t="n">
        <x:f>U20-U21</x:f>
        <x:v>56428.125</x:v>
      </x:c>
      <x:c r="V22" s="55" t="n">
        <x:f>V20-V21</x:f>
        <x:v>61136.875</x:v>
      </x:c>
      <x:c r="W22" s="55" t="n">
        <x:f>W20-W21</x:f>
        <x:v>65845.625</x:v>
      </x:c>
      <x:c r="X22" s="55" t="n">
        <x:f>X20-X21</x:f>
        <x:v>70554.375</x:v>
      </x:c>
      <x:c r="Y22" s="55" t="n">
        <x:f>Y20-Y21</x:f>
        <x:v>75263.125</x:v>
      </x:c>
      <x:c r="Z22" s="55" t="n">
        <x:f>Z20-Z21</x:f>
        <x:v>79971.875</x:v>
      </x:c>
      <x:c r="AA22" s="55" t="n">
        <x:f>AA20-AA21</x:f>
        <x:v>84680.625</x:v>
      </x:c>
      <x:c r="AB22" s="55" t="n">
        <x:f>AB20-AB21</x:f>
        <x:v>99642.5</x:v>
      </x:c>
      <x:c r="AC22" s="55" t="n">
        <x:f>AC20-AC21</x:f>
        <x:v>104967.5</x:v>
      </x:c>
      <x:c r="AD22" s="55" t="n">
        <x:f>AD20-AD21</x:f>
        <x:v>110292.49999999997</x:v>
      </x:c>
      <x:c r="AE22" s="55" t="n">
        <x:f>AE20-AE21</x:f>
        <x:v>115617.5</x:v>
      </x:c>
      <x:c r="AF22" s="55" t="n">
        <x:f>AF20-AF21</x:f>
        <x:v>120942.49999999997</x:v>
      </x:c>
      <x:c r="AG22" s="55" t="n">
        <x:f>AG20-AG21</x:f>
        <x:v>126267.49999999997</x:v>
      </x:c>
      <x:c r="AH22" s="55" t="n">
        <x:f>AH20-AH21</x:f>
        <x:v>131592.5</x:v>
      </x:c>
      <x:c r="AI22" s="55" t="n">
        <x:f>AI20-AI21</x:f>
        <x:v>136917.5</x:v>
      </x:c>
      <x:c r="AJ22" s="55" t="n">
        <x:f>AJ20-AJ21</x:f>
        <x:v>142242.49999999997</x:v>
      </x:c>
      <x:c r="AK22" s="55" t="n">
        <x:f>AK20-AK21</x:f>
        <x:v>147567.5</x:v>
      </x:c>
      <x:c r="AL22" s="55" t="n">
        <x:f>AL20-AL21</x:f>
        <x:v>152892.5</x:v>
      </x:c>
      <x:c r="AM22" s="55" t="n">
        <x:f>AM20-AM21</x:f>
        <x:v>158217.5</x:v>
      </x:c>
      <x:c r="AN22" s="55" t="n">
        <x:f>AN20-AN21</x:f>
        <x:v>181843.75</x:v>
      </x:c>
      <x:c r="AO22" s="55" t="n">
        <x:f>AO20-AO21</x:f>
        <x:v>189331.25</x:v>
      </x:c>
      <x:c r="AP22" s="55" t="n">
        <x:f>AP20-AP21</x:f>
        <x:v>196818.75</x:v>
      </x:c>
      <x:c r="AQ22" s="55" t="n">
        <x:f>AQ20-AQ21</x:f>
        <x:v>204306.25</x:v>
      </x:c>
      <x:c r="AR22" s="55" t="n">
        <x:f>AR20-AR21</x:f>
        <x:v>211793.75</x:v>
      </x:c>
      <x:c r="AS22" s="55" t="n">
        <x:f>AS20-AS21</x:f>
        <x:v>219281.25000000006</x:v>
      </x:c>
      <x:c r="AT22" s="55" t="n">
        <x:f>AT20-AT21</x:f>
        <x:v>226768.74999999994</x:v>
      </x:c>
      <x:c r="AU22" s="55" t="n">
        <x:f>AU20-AU21</x:f>
        <x:v>234256.25</x:v>
      </x:c>
      <x:c r="AV22" s="55" t="n">
        <x:f>AV20-AV21</x:f>
        <x:v>241743.75000000006</x:v>
      </x:c>
      <x:c r="AW22" s="55" t="n">
        <x:f>AW20-AW21</x:f>
        <x:v>249231.24999999994</x:v>
      </x:c>
      <x:c r="AX22" s="55" t="n">
        <x:f>AX20-AX21</x:f>
        <x:v>256718.75</x:v>
      </x:c>
      <x:c r="AY22" s="55" t="n">
        <x:f>AY20-AY21</x:f>
        <x:v>264206.25000000006</x:v>
      </x:c>
      <x:c r="AZ22" s="55" t="n">
        <x:f>AZ20-AZ21</x:f>
        <x:v>299786.6666666666</x:v>
      </x:c>
      <x:c r="BA22" s="55" t="n">
        <x:f>BA20-BA21</x:f>
        <x:v>309280</x:v>
      </x:c>
      <x:c r="BB22" s="55" t="n">
        <x:f>BB20-BB21</x:f>
        <x:v>318773.3333333334</x:v>
      </x:c>
      <x:c r="BC22" s="55" t="n">
        <x:f>BC20-BC21</x:f>
        <x:v>328266.6666666666</x:v>
      </x:c>
      <x:c r="BD22" s="55" t="n">
        <x:f>BD20-BD21</x:f>
        <x:v>337760</x:v>
      </x:c>
      <x:c r="BE22" s="55" t="n">
        <x:f>BE20-BE21</x:f>
        <x:v>347253.3333333333</x:v>
      </x:c>
      <x:c r="BF22" s="55" t="n">
        <x:f>BF20-BF21</x:f>
        <x:v>356746.66666666674</x:v>
      </x:c>
      <x:c r="BG22" s="55" t="n">
        <x:f>BG20-BG21</x:f>
        <x:v>366240</x:v>
      </x:c>
      <x:c r="BH22" s="55" t="n">
        <x:f>BH20-BH21</x:f>
        <x:v>375733.3333333333</x:v>
      </x:c>
      <x:c r="BI22" s="55" t="n">
        <x:f>BI20-BI21</x:f>
        <x:v>385226.66666666674</x:v>
      </x:c>
      <x:c r="BJ22" s="55" t="n">
        <x:f>BJ20-BJ21</x:f>
        <x:v>394720</x:v>
      </x:c>
      <x:c r="BK22" s="55" t="n">
        <x:f>BK20-BK21</x:f>
        <x:v>404213.3333333333</x:v>
      </x:c>
      <x:c r="BL22" s="1"/>
    </x:row>
    <x:row r="23" ht="21" customHeight="1">
      <x:c r="A23" s="1"/>
      <x:c r="B23" s="1"/>
      <x:c r="C23" s="1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50"/>
      <x:c r="T23" s="50"/>
      <x:c r="U23" s="50"/>
      <x:c r="V23" s="50"/>
      <x:c r="W23" s="50"/>
      <x:c r="X23" s="50"/>
      <x:c r="Y23" s="50"/>
      <x:c r="Z23" s="50"/>
      <x:c r="AA23" s="50"/>
      <x:c r="AB23" s="50"/>
      <x:c r="AC23" s="50"/>
      <x:c r="AD23" s="50"/>
      <x:c r="AE23" s="50"/>
      <x:c r="AF23" s="50"/>
      <x:c r="AG23" s="50"/>
      <x:c r="AH23" s="50"/>
      <x:c r="AI23" s="50"/>
      <x:c r="AJ23" s="50"/>
      <x:c r="AK23" s="50"/>
      <x:c r="AL23" s="50"/>
      <x:c r="AM23" s="50"/>
      <x:c r="AN23" s="50"/>
      <x:c r="AO23" s="50"/>
      <x:c r="AP23" s="50"/>
      <x:c r="AQ23" s="50"/>
      <x:c r="AR23" s="50"/>
      <x:c r="AS23" s="50"/>
      <x:c r="AT23" s="50"/>
      <x:c r="AU23" s="50"/>
      <x:c r="AV23" s="50"/>
      <x:c r="AW23" s="50"/>
      <x:c r="AX23" s="50"/>
      <x:c r="AY23" s="50"/>
      <x:c r="AZ23" s="50"/>
      <x:c r="BA23" s="50"/>
      <x:c r="BB23" s="50"/>
      <x:c r="BC23" s="50"/>
      <x:c r="BD23" s="50"/>
      <x:c r="BE23" s="50"/>
      <x:c r="BF23" s="50"/>
      <x:c r="BG23" s="50"/>
      <x:c r="BH23" s="50"/>
      <x:c r="BI23" s="50"/>
      <x:c r="BJ23" s="50"/>
      <x:c r="BK23" s="50"/>
      <x:c r="BL23" s="1"/>
    </x:row>
    <x:row r="24" ht="21" customHeight="1">
      <x:c r="A24" s="1"/>
      <x:c r="B24" s="1"/>
      <x:c r="C24" s="1" t="str">
        <x:v>Direct rails and fulfillment</x:v>
      </x:c>
      <x:c r="D24" s="48" t="n">
        <x:f>D18*'Assumptions'!$G$104+D17*'Assumptions'!$G$110</x:f>
        <x:v>0</x:v>
      </x:c>
      <x:c r="E24" s="48" t="n">
        <x:f>E18*'Assumptions'!$G$104+E17*'Assumptions'!$G$110</x:f>
        <x:v>0</x:v>
      </x:c>
      <x:c r="F24" s="48" t="n">
        <x:f>F18*'Assumptions'!$G$104+F17*'Assumptions'!$G$110</x:f>
        <x:v>0</x:v>
      </x:c>
      <x:c r="G24" s="48" t="n">
        <x:f>G18*'Assumptions'!$G$104+G17*'Assumptions'!$G$110</x:f>
        <x:v>0</x:v>
      </x:c>
      <x:c r="H24" s="48" t="n">
        <x:f>H18*'Assumptions'!$G$104+H17*'Assumptions'!$G$110</x:f>
        <x:v>0</x:v>
      </x:c>
      <x:c r="I24" s="48" t="n">
        <x:f>I18*'Assumptions'!$G$104+I17*'Assumptions'!$G$110</x:f>
        <x:v>989.9999999999998</x:v>
      </x:c>
      <x:c r="J24" s="48" t="n">
        <x:f>J18*'Assumptions'!$G$104+J17*'Assumptions'!$G$110</x:f>
        <x:v>2970</x:v>
      </x:c>
      <x:c r="K24" s="48" t="n">
        <x:f>K18*'Assumptions'!$G$104+K17*'Assumptions'!$G$110</x:f>
        <x:v>4949.999999999999</x:v>
      </x:c>
      <x:c r="L24" s="48" t="n">
        <x:f>L18*'Assumptions'!$G$104+L17*'Assumptions'!$G$110</x:f>
        <x:v>6930</x:v>
      </x:c>
      <x:c r="M24" s="48" t="n">
        <x:f>M18*'Assumptions'!$G$104+M17*'Assumptions'!$G$110</x:f>
        <x:v>8910</x:v>
      </x:c>
      <x:c r="N24" s="48" t="n">
        <x:f>N18*'Assumptions'!$G$104+N17*'Assumptions'!$G$110</x:f>
        <x:v>10889.999999999996</x:v>
      </x:c>
      <x:c r="O24" s="48" t="n">
        <x:f>O18*'Assumptions'!$G$104+O17*'Assumptions'!$G$110</x:f>
        <x:v>12869.999999999996</x:v>
      </x:c>
      <x:c r="P24" s="48" t="n">
        <x:f>P18*'Assumptions'!$H$104+P17*'Assumptions'!$H$110</x:f>
        <x:v>16844.140625</x:v>
      </x:c>
      <x:c r="Q24" s="48" t="n">
        <x:f>Q18*'Assumptions'!$H$104+Q17*'Assumptions'!$H$110</x:f>
        <x:v>19234.921875</x:v>
      </x:c>
      <x:c r="R24" s="48" t="n">
        <x:f>R18*'Assumptions'!$H$104+R17*'Assumptions'!$H$110</x:f>
        <x:v>21625.703125</x:v>
      </x:c>
      <x:c r="S24" s="48" t="n">
        <x:f>S18*'Assumptions'!$H$104+S17*'Assumptions'!$H$110</x:f>
        <x:v>24016.484374999996</x:v>
      </x:c>
      <x:c r="T24" s="48" t="n">
        <x:f>T18*'Assumptions'!$H$104+T17*'Assumptions'!$H$110</x:f>
        <x:v>26407.265625</x:v>
      </x:c>
      <x:c r="U24" s="48" t="n">
        <x:f>U18*'Assumptions'!$H$104+U17*'Assumptions'!$H$110</x:f>
        <x:v>28798.046875</x:v>
      </x:c>
      <x:c r="V24" s="48" t="n">
        <x:f>V18*'Assumptions'!$H$104+V17*'Assumptions'!$H$110</x:f>
        <x:v>31188.828125</x:v>
      </x:c>
      <x:c r="W24" s="48" t="n">
        <x:f>W18*'Assumptions'!$H$104+W17*'Assumptions'!$H$110</x:f>
        <x:v>33579.609375</x:v>
      </x:c>
      <x:c r="X24" s="48" t="n">
        <x:f>X18*'Assumptions'!$H$104+X17*'Assumptions'!$H$110</x:f>
        <x:v>35970.390625</x:v>
      </x:c>
      <x:c r="Y24" s="48" t="n">
        <x:f>Y18*'Assumptions'!$H$104+Y17*'Assumptions'!$H$110</x:f>
        <x:v>38361.171875</x:v>
      </x:c>
      <x:c r="Z24" s="48" t="n">
        <x:f>Z18*'Assumptions'!$H$104+Z17*'Assumptions'!$H$110</x:f>
        <x:v>40751.953125</x:v>
      </x:c>
      <x:c r="AA24" s="48" t="n">
        <x:f>AA18*'Assumptions'!$H$104+AA17*'Assumptions'!$H$110</x:f>
        <x:v>43142.734375</x:v>
      </x:c>
      <x:c r="AB24" s="48" t="n">
        <x:f>AB18*'Assumptions'!$I$104+AB17*'Assumptions'!$I$110</x:f>
        <x:v>51021.97916666667</x:v>
      </x:c>
      <x:c r="AC24" s="48" t="n">
        <x:f>AC18*'Assumptions'!$I$104+AC17*'Assumptions'!$I$110</x:f>
        <x:v>53700.9375</x:v>
      </x:c>
      <x:c r="AD24" s="48" t="n">
        <x:f>AD18*'Assumptions'!$I$104+AD17*'Assumptions'!$I$110</x:f>
        <x:v>56379.89583333332</x:v>
      </x:c>
      <x:c r="AE24" s="48" t="n">
        <x:f>AE18*'Assumptions'!$I$104+AE17*'Assumptions'!$I$110</x:f>
        <x:v>59058.85416666667</x:v>
      </x:c>
      <x:c r="AF24" s="48" t="n">
        <x:f>AF18*'Assumptions'!$I$104+AF17*'Assumptions'!$I$110</x:f>
        <x:v>61737.812499999985</x:v>
      </x:c>
      <x:c r="AG24" s="48" t="n">
        <x:f>AG18*'Assumptions'!$I$104+AG17*'Assumptions'!$I$110</x:f>
        <x:v>64416.77083333332</x:v>
      </x:c>
      <x:c r="AH24" s="48" t="n">
        <x:f>AH18*'Assumptions'!$I$104+AH17*'Assumptions'!$I$110</x:f>
        <x:v>67095.72916666667</x:v>
      </x:c>
      <x:c r="AI24" s="48" t="n">
        <x:f>AI18*'Assumptions'!$I$104+AI17*'Assumptions'!$I$110</x:f>
        <x:v>69774.6875</x:v>
      </x:c>
      <x:c r="AJ24" s="48" t="n">
        <x:f>AJ18*'Assumptions'!$I$104+AJ17*'Assumptions'!$I$110</x:f>
        <x:v>72453.64583333331</x:v>
      </x:c>
      <x:c r="AK24" s="48" t="n">
        <x:f>AK18*'Assumptions'!$I$104+AK17*'Assumptions'!$I$110</x:f>
        <x:v>75132.60416666666</x:v>
      </x:c>
      <x:c r="AL24" s="48" t="n">
        <x:f>AL18*'Assumptions'!$I$104+AL17*'Assumptions'!$I$110</x:f>
        <x:v>77811.5625</x:v>
      </x:c>
      <x:c r="AM24" s="48" t="n">
        <x:f>AM18*'Assumptions'!$I$104+AM17*'Assumptions'!$I$110</x:f>
        <x:v>80490.52083333334</x:v>
      </x:c>
      <x:c r="AN24" s="48" t="n">
        <x:f>AN18*'Assumptions'!$J$104+AN17*'Assumptions'!$J$110</x:f>
        <x:v>92985.15625</x:v>
      </x:c>
      <x:c r="AO24" s="48" t="n">
        <x:f>AO18*'Assumptions'!$J$104+AO17*'Assumptions'!$J$110</x:f>
        <x:v>96780.46875</x:v>
      </x:c>
      <x:c r="AP24" s="48" t="n">
        <x:f>AP18*'Assumptions'!$J$104+AP17*'Assumptions'!$J$110</x:f>
        <x:v>100575.78125</x:v>
      </x:c>
      <x:c r="AQ24" s="48" t="n">
        <x:f>AQ18*'Assumptions'!$J$104+AQ17*'Assumptions'!$J$110</x:f>
        <x:v>104371.09375</x:v>
      </x:c>
      <x:c r="AR24" s="48" t="n">
        <x:f>AR18*'Assumptions'!$J$104+AR17*'Assumptions'!$J$110</x:f>
        <x:v>108166.40625</x:v>
      </x:c>
      <x:c r="AS24" s="48" t="n">
        <x:f>AS18*'Assumptions'!$J$104+AS17*'Assumptions'!$J$110</x:f>
        <x:v>111961.71875000001</x:v>
      </x:c>
      <x:c r="AT24" s="48" t="n">
        <x:f>AT18*'Assumptions'!$J$104+AT17*'Assumptions'!$J$110</x:f>
        <x:v>115757.03124999997</x:v>
      </x:c>
      <x:c r="AU24" s="48" t="n">
        <x:f>AU18*'Assumptions'!$J$104+AU17*'Assumptions'!$J$110</x:f>
        <x:v>119552.34375</x:v>
      </x:c>
      <x:c r="AV24" s="48" t="n">
        <x:f>AV18*'Assumptions'!$J$104+AV17*'Assumptions'!$J$110</x:f>
        <x:v>123347.65625000003</x:v>
      </x:c>
      <x:c r="AW24" s="48" t="n">
        <x:f>AW18*'Assumptions'!$J$104+AW17*'Assumptions'!$J$110</x:f>
        <x:v>127142.96874999997</x:v>
      </x:c>
      <x:c r="AX24" s="48" t="n">
        <x:f>AX18*'Assumptions'!$J$104+AX17*'Assumptions'!$J$110</x:f>
        <x:v>130938.28125</x:v>
      </x:c>
      <x:c r="AY24" s="48" t="n">
        <x:f>AY18*'Assumptions'!$J$104+AY17*'Assumptions'!$J$110</x:f>
        <x:v>134733.59375000003</x:v>
      </x:c>
      <x:c r="AZ24" s="48" t="n">
        <x:f>AZ18*'Assumptions'!$K$104+AZ17*'Assumptions'!$K$110</x:f>
        <x:v>153600</x:v>
      </x:c>
      <x:c r="BA24" s="48" t="n">
        <x:f>BA18*'Assumptions'!$K$104+BA17*'Assumptions'!$K$110</x:f>
        <x:v>158400</x:v>
      </x:c>
      <x:c r="BB24" s="48" t="n">
        <x:f>BB18*'Assumptions'!$K$104+BB17*'Assumptions'!$K$110</x:f>
        <x:v>163200</x:v>
      </x:c>
      <x:c r="BC24" s="48" t="n">
        <x:f>BC18*'Assumptions'!$K$104+BC17*'Assumptions'!$K$110</x:f>
        <x:v>168000</x:v>
      </x:c>
      <x:c r="BD24" s="48" t="n">
        <x:f>BD18*'Assumptions'!$K$104+BD17*'Assumptions'!$K$110</x:f>
        <x:v>172800</x:v>
      </x:c>
      <x:c r="BE24" s="48" t="n">
        <x:f>BE18*'Assumptions'!$K$104+BE17*'Assumptions'!$K$110</x:f>
        <x:v>177600</x:v>
      </x:c>
      <x:c r="BF24" s="48" t="n">
        <x:f>BF18*'Assumptions'!$K$104+BF17*'Assumptions'!$K$110</x:f>
        <x:v>182400.00000000006</x:v>
      </x:c>
      <x:c r="BG24" s="48" t="n">
        <x:f>BG18*'Assumptions'!$K$104+BG17*'Assumptions'!$K$110</x:f>
        <x:v>187200</x:v>
      </x:c>
      <x:c r="BH24" s="48" t="n">
        <x:f>BH18*'Assumptions'!$K$104+BH17*'Assumptions'!$K$110</x:f>
        <x:v>192000</x:v>
      </x:c>
      <x:c r="BI24" s="48" t="n">
        <x:f>BI18*'Assumptions'!$K$104+BI17*'Assumptions'!$K$110</x:f>
        <x:v>196800.00000000006</x:v>
      </x:c>
      <x:c r="BJ24" s="48" t="n">
        <x:f>BJ18*'Assumptions'!$K$104+BJ17*'Assumptions'!$K$110</x:f>
        <x:v>201600</x:v>
      </x:c>
      <x:c r="BK24" s="48" t="n">
        <x:f>BK18*'Assumptions'!$K$104+BK17*'Assumptions'!$K$110</x:f>
        <x:v>206400</x:v>
      </x:c>
      <x:c r="BL24" s="1"/>
    </x:row>
    <x:row r="25" ht="21" customHeight="1">
      <x:c r="A25" s="1"/>
      <x:c r="B25" s="1"/>
      <x:c r="C25" s="1" t="str">
        <x:v>Fraud and FX-loss allowance</x:v>
      </x:c>
      <x:c r="D25" s="48" t="n">
        <x:f>D18*'Assumptions'!$G$116</x:f>
        <x:v>0</x:v>
      </x:c>
      <x:c r="E25" s="48" t="n">
        <x:f>E18*'Assumptions'!$G$116</x:f>
        <x:v>0</x:v>
      </x:c>
      <x:c r="F25" s="48" t="n">
        <x:f>F18*'Assumptions'!$G$116</x:f>
        <x:v>0</x:v>
      </x:c>
      <x:c r="G25" s="48" t="n">
        <x:f>G18*'Assumptions'!$G$116</x:f>
        <x:v>0</x:v>
      </x:c>
      <x:c r="H25" s="48" t="n">
        <x:f>H18*'Assumptions'!$G$116</x:f>
        <x:v>0</x:v>
      </x:c>
      <x:c r="I25" s="48" t="n">
        <x:f>I18*'Assumptions'!$G$116</x:f>
        <x:v>102.85714285714285</x:v>
      </x:c>
      <x:c r="J25" s="48" t="n">
        <x:f>J18*'Assumptions'!$G$116</x:f>
        <x:v>308.5714285714286</x:v>
      </x:c>
      <x:c r="K25" s="48" t="n">
        <x:f>K18*'Assumptions'!$G$116</x:f>
        <x:v>514.2857142857142</x:v>
      </x:c>
      <x:c r="L25" s="48" t="n">
        <x:f>L18*'Assumptions'!$G$116</x:f>
        <x:v>720</x:v>
      </x:c>
      <x:c r="M25" s="48" t="n">
        <x:f>M18*'Assumptions'!$G$116</x:f>
        <x:v>925.7142857142857</x:v>
      </x:c>
      <x:c r="N25" s="48" t="n">
        <x:f>N18*'Assumptions'!$G$116</x:f>
        <x:v>1131.428571428571</x:v>
      </x:c>
      <x:c r="O25" s="48" t="n">
        <x:f>O18*'Assumptions'!$G$116</x:f>
        <x:v>1337.1428571428569</x:v>
      </x:c>
      <x:c r="P25" s="48" t="n">
        <x:f>P18*'Assumptions'!$H$116</x:f>
        <x:v>1784.1145833333335</x:v>
      </x:c>
      <x:c r="Q25" s="48" t="n">
        <x:f>Q18*'Assumptions'!$H$116</x:f>
        <x:v>2037.34375</x:v>
      </x:c>
      <x:c r="R25" s="48" t="n">
        <x:f>R18*'Assumptions'!$H$116</x:f>
        <x:v>2290.5729166666665</x:v>
      </x:c>
      <x:c r="S25" s="48" t="n">
        <x:f>S18*'Assumptions'!$H$116</x:f>
        <x:v>2543.802083333333</x:v>
      </x:c>
      <x:c r="T25" s="48" t="n">
        <x:f>T18*'Assumptions'!$H$116</x:f>
        <x:v>2797.03125</x:v>
      </x:c>
      <x:c r="U25" s="48" t="n">
        <x:f>U18*'Assumptions'!$H$116</x:f>
        <x:v>3050.2604166666665</x:v>
      </x:c>
      <x:c r="V25" s="48" t="n">
        <x:f>V18*'Assumptions'!$H$116</x:f>
        <x:v>3303.4895833333335</x:v>
      </x:c>
      <x:c r="W25" s="48" t="n">
        <x:f>W18*'Assumptions'!$H$116</x:f>
        <x:v>3556.71875</x:v>
      </x:c>
      <x:c r="X25" s="48" t="n">
        <x:f>X18*'Assumptions'!$H$116</x:f>
        <x:v>3809.947916666667</x:v>
      </x:c>
      <x:c r="Y25" s="48" t="n">
        <x:f>Y18*'Assumptions'!$H$116</x:f>
        <x:v>4063.177083333333</x:v>
      </x:c>
      <x:c r="Z25" s="48" t="n">
        <x:f>Z18*'Assumptions'!$H$116</x:f>
        <x:v>4316.40625</x:v>
      </x:c>
      <x:c r="AA25" s="48" t="n">
        <x:f>AA18*'Assumptions'!$H$116</x:f>
        <x:v>4569.635416666667</x:v>
      </x:c>
      <x:c r="AB25" s="48" t="n">
        <x:f>AB18*'Assumptions'!$I$116</x:f>
        <x:v>5499.375</x:v>
      </x:c>
      <x:c r="AC25" s="48" t="n">
        <x:f>AC18*'Assumptions'!$I$116</x:f>
        <x:v>5788.125</x:v>
      </x:c>
      <x:c r="AD25" s="48" t="n">
        <x:f>AD18*'Assumptions'!$I$116</x:f>
        <x:v>6076.874999999999</x:v>
      </x:c>
      <x:c r="AE25" s="48" t="n">
        <x:f>AE18*'Assumptions'!$I$116</x:f>
        <x:v>6365.625</x:v>
      </x:c>
      <x:c r="AF25" s="48" t="n">
        <x:f>AF18*'Assumptions'!$I$116</x:f>
        <x:v>6654.374999999999</x:v>
      </x:c>
      <x:c r="AG25" s="48" t="n">
        <x:f>AG18*'Assumptions'!$I$116</x:f>
        <x:v>6943.124999999999</x:v>
      </x:c>
      <x:c r="AH25" s="48" t="n">
        <x:f>AH18*'Assumptions'!$I$116</x:f>
        <x:v>7231.875</x:v>
      </x:c>
      <x:c r="AI25" s="48" t="n">
        <x:f>AI18*'Assumptions'!$I$116</x:f>
        <x:v>7520.625</x:v>
      </x:c>
      <x:c r="AJ25" s="48" t="n">
        <x:f>AJ18*'Assumptions'!$I$116</x:f>
        <x:v>7809.374999999999</x:v>
      </x:c>
      <x:c r="AK25" s="48" t="n">
        <x:f>AK18*'Assumptions'!$I$116</x:f>
        <x:v>8098.124999999999</x:v>
      </x:c>
      <x:c r="AL25" s="48" t="n">
        <x:f>AL18*'Assumptions'!$I$116</x:f>
        <x:v>8386.875</x:v>
      </x:c>
      <x:c r="AM25" s="48" t="n">
        <x:f>AM18*'Assumptions'!$I$116</x:f>
        <x:v>8675.625</x:v>
      </x:c>
      <x:c r="AN25" s="48" t="n">
        <x:f>AN18*'Assumptions'!$J$116</x:f>
        <x:v>10182.8125</x:v>
      </x:c>
      <x:c r="AO25" s="48" t="n">
        <x:f>AO18*'Assumptions'!$J$116</x:f>
        <x:v>10598.4375</x:v>
      </x:c>
      <x:c r="AP25" s="48" t="n">
        <x:f>AP18*'Assumptions'!$J$116</x:f>
        <x:v>11014.0625</x:v>
      </x:c>
      <x:c r="AQ25" s="48" t="n">
        <x:f>AQ18*'Assumptions'!$J$116</x:f>
        <x:v>11429.6875</x:v>
      </x:c>
      <x:c r="AR25" s="48" t="n">
        <x:f>AR18*'Assumptions'!$J$116</x:f>
        <x:v>11845.3125</x:v>
      </x:c>
      <x:c r="AS25" s="48" t="n">
        <x:f>AS18*'Assumptions'!$J$116</x:f>
        <x:v>12260.937500000002</x:v>
      </x:c>
      <x:c r="AT25" s="48" t="n">
        <x:f>AT18*'Assumptions'!$J$116</x:f>
        <x:v>12676.562499999998</x:v>
      </x:c>
      <x:c r="AU25" s="48" t="n">
        <x:f>AU18*'Assumptions'!$J$116</x:f>
        <x:v>13092.1875</x:v>
      </x:c>
      <x:c r="AV25" s="48" t="n">
        <x:f>AV18*'Assumptions'!$J$116</x:f>
        <x:v>13507.812500000002</x:v>
      </x:c>
      <x:c r="AW25" s="48" t="n">
        <x:f>AW18*'Assumptions'!$J$116</x:f>
        <x:v>13923.437499999998</x:v>
      </x:c>
      <x:c r="AX25" s="48" t="n">
        <x:f>AX18*'Assumptions'!$J$116</x:f>
        <x:v>14339.0625</x:v>
      </x:c>
      <x:c r="AY25" s="48" t="n">
        <x:f>AY18*'Assumptions'!$J$116</x:f>
        <x:v>14754.687500000002</x:v>
      </x:c>
      <x:c r="AZ25" s="48" t="n">
        <x:f>AZ18*'Assumptions'!$K$116</x:f>
        <x:v>17066.666666666668</x:v>
      </x:c>
      <x:c r="BA25" s="48" t="n">
        <x:f>BA18*'Assumptions'!$K$116</x:f>
        <x:v>17600</x:v>
      </x:c>
      <x:c r="BB25" s="48" t="n">
        <x:f>BB18*'Assumptions'!$K$116</x:f>
        <x:v>18133.333333333332</x:v>
      </x:c>
      <x:c r="BC25" s="48" t="n">
        <x:f>BC18*'Assumptions'!$K$116</x:f>
        <x:v>18666.666666666668</x:v>
      </x:c>
      <x:c r="BD25" s="48" t="n">
        <x:f>BD18*'Assumptions'!$K$116</x:f>
        <x:v>19200</x:v>
      </x:c>
      <x:c r="BE25" s="48" t="n">
        <x:f>BE18*'Assumptions'!$K$116</x:f>
        <x:v>19733.333333333332</x:v>
      </x:c>
      <x:c r="BF25" s="48" t="n">
        <x:f>BF18*'Assumptions'!$K$116</x:f>
        <x:v>20266.66666666667</x:v>
      </x:c>
      <x:c r="BG25" s="48" t="n">
        <x:f>BG18*'Assumptions'!$K$116</x:f>
        <x:v>20800</x:v>
      </x:c>
      <x:c r="BH25" s="48" t="n">
        <x:f>BH18*'Assumptions'!$K$116</x:f>
        <x:v>21333.333333333332</x:v>
      </x:c>
      <x:c r="BI25" s="48" t="n">
        <x:f>BI18*'Assumptions'!$K$116</x:f>
        <x:v>21866.66666666667</x:v>
      </x:c>
      <x:c r="BJ25" s="48" t="n">
        <x:f>BJ18*'Assumptions'!$K$116</x:f>
        <x:v>22400</x:v>
      </x:c>
      <x:c r="BK25" s="48" t="n">
        <x:f>BK18*'Assumptions'!$K$116</x:f>
        <x:v>22933.333333333332</x:v>
      </x:c>
      <x:c r="BL25" s="1"/>
    </x:row>
    <x:row r="26" ht="21" customHeight="1">
      <x:c r="A26" s="1"/>
      <x:c r="B26" s="1"/>
      <x:c r="C26" s="1" t="str">
        <x:v>Verification expense</x:v>
      </x:c>
      <x:c r="D26" s="48" t="n">
        <x:f>D13*'Assumptions'!$D$44</x:f>
        <x:v>0</x:v>
      </x:c>
      <x:c r="E26" s="48" t="n">
        <x:f>E13*'Assumptions'!$D$44</x:f>
        <x:v>0</x:v>
      </x:c>
      <x:c r="F26" s="48" t="n">
        <x:f>F13*'Assumptions'!$D$44</x:f>
        <x:v>0</x:v>
      </x:c>
      <x:c r="G26" s="48" t="n">
        <x:f>G13*'Assumptions'!$D$44</x:f>
        <x:v>0</x:v>
      </x:c>
      <x:c r="H26" s="48" t="n">
        <x:f>H13*'Assumptions'!$D$44</x:f>
        <x:v>0</x:v>
      </x:c>
      <x:c r="I26" s="48" t="n">
        <x:f>I13*'Assumptions'!$D$44</x:f>
        <x:v>1142.857142857143</x:v>
      </x:c>
      <x:c r="J26" s="48" t="n">
        <x:f>J13*'Assumptions'!$D$44</x:f>
        <x:v>1188.5714285714287</x:v>
      </x:c>
      <x:c r="K26" s="48" t="n">
        <x:f>K13*'Assumptions'!$D$44</x:f>
        <x:v>1234.285714285714</x:v>
      </x:c>
      <x:c r="L26" s="48" t="n">
        <x:f>L13*'Assumptions'!$D$44</x:f>
        <x:v>1280.0000000000007</x:v>
      </x:c>
      <x:c r="M26" s="48" t="n">
        <x:f>M13*'Assumptions'!$D$44</x:f>
        <x:v>1325.714285714287</x:v>
      </x:c>
      <x:c r="N26" s="48" t="n">
        <x:f>N13*'Assumptions'!$D$44</x:f>
        <x:v>1371.42857142857</x:v>
      </x:c>
      <x:c r="O26" s="48" t="n">
        <x:f>O13*'Assumptions'!$D$44</x:f>
        <x:v>1417.1428571428587</x:v>
      </x:c>
      <x:c r="P26" s="48" t="n">
        <x:f>P13*'Assumptions'!$D$44</x:f>
        <x:v>1542.2222222222226</x:v>
      </x:c>
      <x:c r="Q26" s="48" t="n">
        <x:f>Q13*'Assumptions'!$D$44</x:f>
        <x:v>1591.1111111111106</x:v>
      </x:c>
      <x:c r="R26" s="48" t="n">
        <x:f>R13*'Assumptions'!$D$44</x:f>
        <x:v>1640.0000000000011</x:v>
      </x:c>
      <x:c r="S26" s="48" t="n">
        <x:f>S13*'Assumptions'!$D$44</x:f>
        <x:v>1688.888888888888</x:v>
      </x:c>
      <x:c r="T26" s="48" t="n">
        <x:f>T13*'Assumptions'!$D$44</x:f>
        <x:v>1737.7777777777785</x:v>
      </x:c>
      <x:c r="U26" s="48" t="n">
        <x:f>U13*'Assumptions'!$D$44</x:f>
        <x:v>1786.666666666669</x:v>
      </x:c>
      <x:c r="V26" s="48" t="n">
        <x:f>V13*'Assumptions'!$D$44</x:f>
        <x:v>1835.5555555555572</x:v>
      </x:c>
      <x:c r="W26" s="48" t="n">
        <x:f>W13*'Assumptions'!$D$44</x:f>
        <x:v>1884.4444444444428</x:v>
      </x:c>
      <x:c r="X26" s="48" t="n">
        <x:f>X13*'Assumptions'!$D$44</x:f>
        <x:v>1933.3333333333358</x:v>
      </x:c>
      <x:c r="Y26" s="48" t="n">
        <x:f>Y13*'Assumptions'!$D$44</x:f>
        <x:v>1982.2222222222215</x:v>
      </x:c>
      <x:c r="Z26" s="48" t="n">
        <x:f>Z13*'Assumptions'!$D$44</x:f>
        <x:v>2031.1111111111143</x:v>
      </x:c>
      <x:c r="AA26" s="48" t="n">
        <x:f>AA13*'Assumptions'!$D$44</x:f>
        <x:v>2080</x:v>
      </x:c>
      <x:c r="AB26" s="48" t="n">
        <x:f>AB13*'Assumptions'!$D$44</x:f>
        <x:v>2128.8888888888905</x:v>
      </x:c>
      <x:c r="AC26" s="48" t="n">
        <x:f>AC13*'Assumptions'!$D$44</x:f>
        <x:v>2177.777777777776</x:v>
      </x:c>
      <x:c r="AD26" s="48" t="n">
        <x:f>AD13*'Assumptions'!$D$44</x:f>
        <x:v>2226.6666666666715</x:v>
      </x:c>
      <x:c r="AE26" s="48" t="n">
        <x:f>AE13*'Assumptions'!$D$44</x:f>
        <x:v>2275.555555555557</x:v>
      </x:c>
      <x:c r="AF26" s="48" t="n">
        <x:f>AF13*'Assumptions'!$D$44</x:f>
        <x:v>2324.444444444443</x:v>
      </x:c>
      <x:c r="AG26" s="48" t="n">
        <x:f>AG13*'Assumptions'!$D$44</x:f>
        <x:v>2373.333333333338</x:v>
      </x:c>
      <x:c r="AH26" s="48" t="n">
        <x:f>AH13*'Assumptions'!$D$44</x:f>
        <x:v>2422.222222222224</x:v>
      </x:c>
      <x:c r="AI26" s="48" t="n">
        <x:f>AI13*'Assumptions'!$D$44</x:f>
        <x:v>2471.1111111111095</x:v>
      </x:c>
      <x:c r="AJ26" s="48" t="n">
        <x:f>AJ13*'Assumptions'!$D$44</x:f>
        <x:v>2520.000000000005</x:v>
      </x:c>
      <x:c r="AK26" s="48" t="n">
        <x:f>AK13*'Assumptions'!$D$44</x:f>
        <x:v>2568.8888888888855</x:v>
      </x:c>
      <x:c r="AL26" s="48" t="n">
        <x:f>AL13*'Assumptions'!$D$44</x:f>
        <x:v>2617.777777777786</x:v>
      </x:c>
      <x:c r="AM26" s="48" t="n">
        <x:f>AM13*'Assumptions'!$D$44</x:f>
        <x:v>2666.6666666666665</x:v>
      </x:c>
      <x:c r="AN26" s="48" t="n">
        <x:f>AN13*'Assumptions'!$D$44</x:f>
        <x:v>3048.8888888888905</x:v>
      </x:c>
      <x:c r="AO26" s="48" t="n">
        <x:f>AO13*'Assumptions'!$D$44</x:f>
        <x:v>3111.1111111111095</x:v>
      </x:c>
      <x:c r="AP26" s="48" t="n">
        <x:f>AP13*'Assumptions'!$D$44</x:f>
        <x:v>3173.333333333338</x:v>
      </x:c>
      <x:c r="AQ26" s="48" t="n">
        <x:f>AQ13*'Assumptions'!$D$44</x:f>
        <x:v>3235.555555555557</x:v>
      </x:c>
      <x:c r="AR26" s="48" t="n">
        <x:f>AR13*'Assumptions'!$D$44</x:f>
        <x:v>3297.777777777781</x:v>
      </x:c>
      <x:c r="AS26" s="48" t="n">
        <x:f>AS13*'Assumptions'!$D$44</x:f>
        <x:v>3360</x:v>
      </x:c>
      <x:c r="AT26" s="48" t="n">
        <x:f>AT13*'Assumptions'!$D$44</x:f>
        <x:v>3422.222222222219</x:v>
      </x:c>
      <x:c r="AU26" s="48" t="n">
        <x:f>AU13*'Assumptions'!$D$44</x:f>
        <x:v>3484.4444444444475</x:v>
      </x:c>
      <x:c r="AV26" s="48" t="n">
        <x:f>AV13*'Assumptions'!$D$44</x:f>
        <x:v>3546.6666666666665</x:v>
      </x:c>
      <x:c r="AW26" s="48" t="n">
        <x:f>AW13*'Assumptions'!$D$44</x:f>
        <x:v>3608.8888888888855</x:v>
      </x:c>
      <x:c r="AX26" s="48" t="n">
        <x:f>AX13*'Assumptions'!$D$44</x:f>
        <x:v>3671.111111111124</x:v>
      </x:c>
      <x:c r="AY26" s="48" t="n">
        <x:f>AY13*'Assumptions'!$D$44</x:f>
        <x:v>3733.3333333333335</x:v>
      </x:c>
      <x:c r="AZ26" s="48" t="n">
        <x:f>AZ13*'Assumptions'!$D$44</x:f>
        <x:v>4017.777777777781</x:v>
      </x:c>
      <x:c r="BA26" s="48" t="n">
        <x:f>BA13*'Assumptions'!$D$44</x:f>
        <x:v>4088.8888888888855</x:v>
      </x:c>
      <x:c r="BB26" s="48" t="n">
        <x:f>BB13*'Assumptions'!$D$44</x:f>
        <x:v>4160.00000000001</x:v>
      </x:c>
      <x:c r="BC26" s="48" t="n">
        <x:f>BC13*'Assumptions'!$D$44</x:f>
        <x:v>4231.111111111114</x:v>
      </x:c>
      <x:c r="BD26" s="48" t="n">
        <x:f>BD13*'Assumptions'!$D$44</x:f>
        <x:v>4302.222222222219</x:v>
      </x:c>
      <x:c r="BE26" s="48" t="n">
        <x:f>BE13*'Assumptions'!$D$44</x:f>
        <x:v>4373.333333333343</x:v>
      </x:c>
      <x:c r="BF26" s="48" t="n">
        <x:f>BF13*'Assumptions'!$D$44</x:f>
        <x:v>4444.444444444448</x:v>
      </x:c>
      <x:c r="BG26" s="48" t="n">
        <x:f>BG13*'Assumptions'!$D$44</x:f>
        <x:v>4515.555555555552</x:v>
      </x:c>
      <x:c r="BH26" s="48" t="n">
        <x:f>BH13*'Assumptions'!$D$44</x:f>
        <x:v>4586.666666666676</x:v>
      </x:c>
      <x:c r="BI26" s="48" t="n">
        <x:f>BI13*'Assumptions'!$D$44</x:f>
        <x:v>4657.777777777781</x:v>
      </x:c>
      <x:c r="BJ26" s="48" t="n">
        <x:f>BJ13*'Assumptions'!$D$44</x:f>
        <x:v>4728.888888888886</x:v>
      </x:c>
      <x:c r="BK26" s="48" t="n">
        <x:f>BK13*'Assumptions'!$D$44</x:f>
        <x:v>4800.00000000001</x:v>
      </x:c>
      <x:c r="BL26" s="1"/>
    </x:row>
    <x:row r="27" ht="21" customHeight="1">
      <x:c r="A27" s="1"/>
      <x:c r="B27" s="1"/>
      <x:c r="C27" s="1" t="str">
        <x:v>Total direct costs</x:v>
      </x:c>
      <x:c r="D27" s="49" t="n">
        <x:f>SUM(D24:D26)</x:f>
        <x:v>0</x:v>
      </x:c>
      <x:c r="E27" s="49" t="n">
        <x:f>SUM(E24:E26)</x:f>
        <x:v>0</x:v>
      </x:c>
      <x:c r="F27" s="49" t="n">
        <x:f>SUM(F24:F26)</x:f>
        <x:v>0</x:v>
      </x:c>
      <x:c r="G27" s="49" t="n">
        <x:f>SUM(G24:G26)</x:f>
        <x:v>0</x:v>
      </x:c>
      <x:c r="H27" s="49" t="n">
        <x:f>SUM(H24:H26)</x:f>
        <x:v>0</x:v>
      </x:c>
      <x:c r="I27" s="49" t="n">
        <x:f>SUM(I24:I26)</x:f>
        <x:v>2235.7142857142853</x:v>
      </x:c>
      <x:c r="J27" s="49" t="n">
        <x:f>SUM(J24:J26)</x:f>
        <x:v>4467.142857142857</x:v>
      </x:c>
      <x:c r="K27" s="49" t="n">
        <x:f>SUM(K24:K26)</x:f>
        <x:v>6698.5714285714275</x:v>
      </x:c>
      <x:c r="L27" s="49" t="n">
        <x:f>SUM(L24:L26)</x:f>
        <x:v>8930</x:v>
      </x:c>
      <x:c r="M27" s="49" t="n">
        <x:f>SUM(M24:M26)</x:f>
        <x:v>11161.428571428572</x:v>
      </x:c>
      <x:c r="N27" s="49" t="n">
        <x:f>SUM(N24:N26)</x:f>
        <x:v>13392.857142857138</x:v>
      </x:c>
      <x:c r="O27" s="49" t="n">
        <x:f>SUM(O24:O26)</x:f>
        <x:v>15624.285714285712</x:v>
      </x:c>
      <x:c r="P27" s="49" t="n">
        <x:f>SUM(P24:P26)</x:f>
        <x:v>20170.477430555555</x:v>
      </x:c>
      <x:c r="Q27" s="49" t="n">
        <x:f>SUM(Q24:Q26)</x:f>
        <x:v>22863.37673611111</x:v>
      </x:c>
      <x:c r="R27" s="49" t="n">
        <x:f>SUM(R24:R26)</x:f>
        <x:v>25556.276041666668</x:v>
      </x:c>
      <x:c r="S27" s="49" t="n">
        <x:f>SUM(S24:S26)</x:f>
        <x:v>28249.175347222215</x:v>
      </x:c>
      <x:c r="T27" s="49" t="n">
        <x:f>SUM(T24:T26)</x:f>
        <x:v>30942.074652777777</x:v>
      </x:c>
      <x:c r="U27" s="49" t="n">
        <x:f>SUM(U24:U26)</x:f>
        <x:v>33634.973958333336</x:v>
      </x:c>
      <x:c r="V27" s="49" t="n">
        <x:f>SUM(V24:V26)</x:f>
        <x:v>36327.87326388889</x:v>
      </x:c>
      <x:c r="W27" s="49" t="n">
        <x:f>SUM(W24:W26)</x:f>
        <x:v>39020.772569444445</x:v>
      </x:c>
      <x:c r="X27" s="49" t="n">
        <x:f>SUM(X24:X26)</x:f>
        <x:v>41713.671875</x:v>
      </x:c>
      <x:c r="Y27" s="49" t="n">
        <x:f>SUM(Y24:Y26)</x:f>
        <x:v>44406.571180555555</x:v>
      </x:c>
      <x:c r="Z27" s="49" t="n">
        <x:f>SUM(Z24:Z26)</x:f>
        <x:v>47099.47048611112</x:v>
      </x:c>
      <x:c r="AA27" s="49" t="n">
        <x:f>SUM(AA24:AA26)</x:f>
        <x:v>49792.369791666664</x:v>
      </x:c>
      <x:c r="AB27" s="49" t="n">
        <x:f>SUM(AB24:AB26)</x:f>
        <x:v>58650.24305555556</x:v>
      </x:c>
      <x:c r="AC27" s="49" t="n">
        <x:f>SUM(AC24:AC26)</x:f>
        <x:v>61666.840277777774</x:v>
      </x:c>
      <x:c r="AD27" s="49" t="n">
        <x:f>SUM(AD24:AD26)</x:f>
        <x:v>64683.43749999999</x:v>
      </x:c>
      <x:c r="AE27" s="49" t="n">
        <x:f>SUM(AE24:AE26)</x:f>
        <x:v>67700.03472222223</x:v>
      </x:c>
      <x:c r="AF27" s="49" t="n">
        <x:f>SUM(AF24:AF26)</x:f>
        <x:v>70716.63194444442</x:v>
      </x:c>
      <x:c r="AG27" s="49" t="n">
        <x:f>SUM(AG24:AG26)</x:f>
        <x:v>73733.22916666666</x:v>
      </x:c>
      <x:c r="AH27" s="49" t="n">
        <x:f>SUM(AH24:AH26)</x:f>
        <x:v>76749.82638888889</x:v>
      </x:c>
      <x:c r="AI27" s="49" t="n">
        <x:f>SUM(AI24:AI26)</x:f>
        <x:v>79766.42361111111</x:v>
      </x:c>
      <x:c r="AJ27" s="49" t="n">
        <x:f>SUM(AJ24:AJ26)</x:f>
        <x:v>82783.02083333331</x:v>
      </x:c>
      <x:c r="AK27" s="49" t="n">
        <x:f>SUM(AK24:AK26)</x:f>
        <x:v>85799.61805555555</x:v>
      </x:c>
      <x:c r="AL27" s="49" t="n">
        <x:f>SUM(AL24:AL26)</x:f>
        <x:v>88816.21527777778</x:v>
      </x:c>
      <x:c r="AM27" s="49" t="n">
        <x:f>SUM(AM24:AM26)</x:f>
        <x:v>91832.81250000001</x:v>
      </x:c>
      <x:c r="AN27" s="49" t="n">
        <x:f>SUM(AN24:AN26)</x:f>
        <x:v>106216.85763888889</x:v>
      </x:c>
      <x:c r="AO27" s="49" t="n">
        <x:f>SUM(AO24:AO26)</x:f>
        <x:v>110490.01736111111</x:v>
      </x:c>
      <x:c r="AP27" s="49" t="n">
        <x:f>SUM(AP24:AP26)</x:f>
        <x:v>114763.17708333334</x:v>
      </x:c>
      <x:c r="AQ27" s="49" t="n">
        <x:f>SUM(AQ24:AQ26)</x:f>
        <x:v>119036.33680555556</x:v>
      </x:c>
      <x:c r="AR27" s="49" t="n">
        <x:f>SUM(AR24:AR26)</x:f>
        <x:v>123309.49652777778</x:v>
      </x:c>
      <x:c r="AS27" s="49" t="n">
        <x:f>SUM(AS24:AS26)</x:f>
        <x:v>127582.65625000001</x:v>
      </x:c>
      <x:c r="AT27" s="49" t="n">
        <x:f>SUM(AT24:AT26)</x:f>
        <x:v>131855.8159722222</x:v>
      </x:c>
      <x:c r="AU27" s="49" t="n">
        <x:f>SUM(AU24:AU26)</x:f>
        <x:v>136128.97569444444</x:v>
      </x:c>
      <x:c r="AV27" s="49" t="n">
        <x:f>SUM(AV24:AV26)</x:f>
        <x:v>140402.1354166667</x:v>
      </x:c>
      <x:c r="AW27" s="49" t="n">
        <x:f>SUM(AW24:AW26)</x:f>
        <x:v>144675.29513888885</x:v>
      </x:c>
      <x:c r="AX27" s="49" t="n">
        <x:f>SUM(AX24:AX26)</x:f>
        <x:v>148948.45486111112</x:v>
      </x:c>
      <x:c r="AY27" s="49" t="n">
        <x:f>SUM(AY24:AY26)</x:f>
        <x:v>153221.61458333337</x:v>
      </x:c>
      <x:c r="AZ27" s="49" t="n">
        <x:f>SUM(AZ24:AZ26)</x:f>
        <x:v>174684.44444444444</x:v>
      </x:c>
      <x:c r="BA27" s="49" t="n">
        <x:f>SUM(BA24:BA26)</x:f>
        <x:v>180088.88888888888</x:v>
      </x:c>
      <x:c r="BB27" s="49" t="n">
        <x:f>SUM(BB24:BB26)</x:f>
        <x:v>185493.33333333334</x:v>
      </x:c>
      <x:c r="BC27" s="49" t="n">
        <x:f>SUM(BC24:BC26)</x:f>
        <x:v>190897.77777777778</x:v>
      </x:c>
      <x:c r="BD27" s="49" t="n">
        <x:f>SUM(BD24:BD26)</x:f>
        <x:v>196302.22222222222</x:v>
      </x:c>
      <x:c r="BE27" s="49" t="n">
        <x:f>SUM(BE24:BE26)</x:f>
        <x:v>201706.6666666667</x:v>
      </x:c>
      <x:c r="BF27" s="49" t="n">
        <x:f>SUM(BF24:BF26)</x:f>
        <x:v>207111.11111111118</x:v>
      </x:c>
      <x:c r="BG27" s="49" t="n">
        <x:f>SUM(BG24:BG26)</x:f>
        <x:v>212515.55555555556</x:v>
      </x:c>
      <x:c r="BH27" s="49" t="n">
        <x:f>SUM(BH24:BH26)</x:f>
        <x:v>217920.00000000003</x:v>
      </x:c>
      <x:c r="BI27" s="49" t="n">
        <x:f>SUM(BI24:BI26)</x:f>
        <x:v>223324.44444444453</x:v>
      </x:c>
      <x:c r="BJ27" s="49" t="n">
        <x:f>SUM(BJ24:BJ26)</x:f>
        <x:v>228728.88888888888</x:v>
      </x:c>
      <x:c r="BK27" s="49" t="n">
        <x:f>SUM(BK24:BK26)</x:f>
        <x:v>234133.33333333334</x:v>
      </x:c>
      <x:c r="BL27" s="1"/>
    </x:row>
    <x:row r="28" ht="21" customHeight="1">
      <x:c r="A28" s="1"/>
      <x:c r="B28" s="1"/>
      <x:c r="C28" s="54" t="str">
        <x:v>Contribution after direct costs</x:v>
      </x:c>
      <x:c r="D28" s="55" t="n">
        <x:f>D22-D27</x:f>
        <x:v>0</x:v>
      </x:c>
      <x:c r="E28" s="55" t="n">
        <x:f>E22-E27</x:f>
        <x:v>0</x:v>
      </x:c>
      <x:c r="F28" s="55" t="n">
        <x:f>F22-F27</x:f>
        <x:v>0</x:v>
      </x:c>
      <x:c r="G28" s="55" t="n">
        <x:f>G22-G27</x:f>
        <x:v>0</x:v>
      </x:c>
      <x:c r="H28" s="55" t="n">
        <x:f>H22-H27</x:f>
        <x:v>0</x:v>
      </x:c>
      <x:c r="I28" s="55" t="n">
        <x:f>I22-I27</x:f>
        <x:v>-292.8571428571429</x:v>
      </x:c>
      <x:c r="J28" s="55" t="n">
        <x:f>J22-J27</x:f>
        <x:v>1361.4285714285725</x:v>
      </x:c>
      <x:c r="K28" s="55" t="n">
        <x:f>K22-K27</x:f>
        <x:v>3015.7142857142844</x:v>
      </x:c>
      <x:c r="L28" s="55" t="n">
        <x:f>L22-L27</x:f>
        <x:v>4670</x:v>
      </x:c>
      <x:c r="M28" s="55" t="n">
        <x:f>M22-M27</x:f>
        <x:v>6324.28571428571</x:v>
      </x:c>
      <x:c r="N28" s="55" t="n">
        <x:f>N22-N27</x:f>
        <x:v>7978.5714285714275</x:v>
      </x:c>
      <x:c r="O28" s="55" t="n">
        <x:f>O22-O27</x:f>
        <x:v>9632.85714285714</x:v>
      </x:c>
      <x:c r="P28" s="55" t="n">
        <x:f>P22-P27</x:f>
        <x:v>12713.897569444445</x:v>
      </x:c>
      <x:c r="Q28" s="55" t="n">
        <x:f>Q22-Q27</x:f>
        <x:v>14729.74826388889</x:v>
      </x:c>
      <x:c r="R28" s="55" t="n">
        <x:f>R22-R27</x:f>
        <x:v>16745.598958333332</x:v>
      </x:c>
      <x:c r="S28" s="55" t="n">
        <x:f>S22-S27</x:f>
        <x:v>18761.449652777777</x:v>
      </x:c>
      <x:c r="T28" s="55" t="n">
        <x:f>T22-T27</x:f>
        <x:v>20777.300347222223</x:v>
      </x:c>
      <x:c r="U28" s="55" t="n">
        <x:f>U22-U27</x:f>
        <x:v>22793.151041666664</x:v>
      </x:c>
      <x:c r="V28" s="55" t="n">
        <x:f>V22-V27</x:f>
        <x:v>24809.00173611111</x:v>
      </x:c>
      <x:c r="W28" s="55" t="n">
        <x:f>W22-W27</x:f>
        <x:v>26824.852430555555</x:v>
      </x:c>
      <x:c r="X28" s="55" t="n">
        <x:f>X22-X27</x:f>
        <x:v>28840.703125</x:v>
      </x:c>
      <x:c r="Y28" s="55" t="n">
        <x:f>Y22-Y27</x:f>
        <x:v>30856.553819444445</x:v>
      </x:c>
      <x:c r="Z28" s="55" t="n">
        <x:f>Z22-Z27</x:f>
        <x:v>32872.40451388888</x:v>
      </x:c>
      <x:c r="AA28" s="55" t="n">
        <x:f>AA22-AA27</x:f>
        <x:v>34888.255208333336</x:v>
      </x:c>
      <x:c r="AB28" s="55" t="n">
        <x:f>AB22-AB27</x:f>
        <x:v>40992.25694444444</x:v>
      </x:c>
      <x:c r="AC28" s="55" t="n">
        <x:f>AC22-AC27</x:f>
        <x:v>43300.659722222226</x:v>
      </x:c>
      <x:c r="AD28" s="55" t="n">
        <x:f>AD22-AD27</x:f>
        <x:v>45609.06249999998</x:v>
      </x:c>
      <x:c r="AE28" s="55" t="n">
        <x:f>AE22-AE27</x:f>
        <x:v>47917.46527777777</x:v>
      </x:c>
      <x:c r="AF28" s="55" t="n">
        <x:f>AF22-AF27</x:f>
        <x:v>50225.86805555555</x:v>
      </x:c>
      <x:c r="AG28" s="55" t="n">
        <x:f>AG22-AG27</x:f>
        <x:v>52534.270833333314</x:v>
      </x:c>
      <x:c r="AH28" s="55" t="n">
        <x:f>AH22-AH27</x:f>
        <x:v>54842.67361111111</x:v>
      </x:c>
      <x:c r="AI28" s="55" t="n">
        <x:f>AI22-AI27</x:f>
        <x:v>57151.07638888889</x:v>
      </x:c>
      <x:c r="AJ28" s="55" t="n">
        <x:f>AJ22-AJ27</x:f>
        <x:v>59459.47916666666</x:v>
      </x:c>
      <x:c r="AK28" s="55" t="n">
        <x:f>AK22-AK27</x:f>
        <x:v>61767.88194444445</x:v>
      </x:c>
      <x:c r="AL28" s="55" t="n">
        <x:f>AL22-AL27</x:f>
        <x:v>64076.28472222222</x:v>
      </x:c>
      <x:c r="AM28" s="55" t="n">
        <x:f>AM22-AM27</x:f>
        <x:v>66384.68749999999</x:v>
      </x:c>
      <x:c r="AN28" s="55" t="n">
        <x:f>AN22-AN27</x:f>
        <x:v>75626.89236111111</x:v>
      </x:c>
      <x:c r="AO28" s="55" t="n">
        <x:f>AO22-AO27</x:f>
        <x:v>78841.23263888889</x:v>
      </x:c>
      <x:c r="AP28" s="55" t="n">
        <x:f>AP22-AP27</x:f>
        <x:v>82055.57291666666</x:v>
      </x:c>
      <x:c r="AQ28" s="55" t="n">
        <x:f>AQ22-AQ27</x:f>
        <x:v>85269.91319444444</x:v>
      </x:c>
      <x:c r="AR28" s="55" t="n">
        <x:f>AR22-AR27</x:f>
        <x:v>88484.25347222222</x:v>
      </x:c>
      <x:c r="AS28" s="55" t="n">
        <x:f>AS22-AS27</x:f>
        <x:v>91698.59375000004</x:v>
      </x:c>
      <x:c r="AT28" s="55" t="n">
        <x:f>AT22-AT27</x:f>
        <x:v>94912.93402777775</x:v>
      </x:c>
      <x:c r="AU28" s="55" t="n">
        <x:f>AU22-AU27</x:f>
        <x:v>98127.27430555556</x:v>
      </x:c>
      <x:c r="AV28" s="55" t="n">
        <x:f>AV22-AV27</x:f>
        <x:v>101341.61458333337</x:v>
      </x:c>
      <x:c r="AW28" s="55" t="n">
        <x:f>AW22-AW27</x:f>
        <x:v>104555.9548611111</x:v>
      </x:c>
      <x:c r="AX28" s="55" t="n">
        <x:f>AX22-AX27</x:f>
        <x:v>107770.29513888888</x:v>
      </x:c>
      <x:c r="AY28" s="55" t="n">
        <x:f>AY22-AY27</x:f>
        <x:v>110984.63541666669</x:v>
      </x:c>
      <x:c r="AZ28" s="55" t="n">
        <x:f>AZ22-AZ27</x:f>
        <x:v>125102.22222222219</x:v>
      </x:c>
      <x:c r="BA28" s="55" t="n">
        <x:f>BA22-BA27</x:f>
        <x:v>129191.11111111112</x:v>
      </x:c>
      <x:c r="BB28" s="55" t="n">
        <x:f>BB22-BB27</x:f>
        <x:v>133280.00000000003</x:v>
      </x:c>
      <x:c r="BC28" s="55" t="n">
        <x:f>BC22-BC27</x:f>
        <x:v>137368.88888888885</x:v>
      </x:c>
      <x:c r="BD28" s="55" t="n">
        <x:f>BD22-BD27</x:f>
        <x:v>141457.77777777778</x:v>
      </x:c>
      <x:c r="BE28" s="55" t="n">
        <x:f>BE22-BE27</x:f>
        <x:v>145546.66666666663</x:v>
      </x:c>
      <x:c r="BF28" s="55" t="n">
        <x:f>BF22-BF27</x:f>
        <x:v>149635.55555555556</x:v>
      </x:c>
      <x:c r="BG28" s="55" t="n">
        <x:f>BG22-BG27</x:f>
        <x:v>153724.44444444444</x:v>
      </x:c>
      <x:c r="BH28" s="55" t="n">
        <x:f>BH22-BH27</x:f>
        <x:v>157813.33333333328</x:v>
      </x:c>
      <x:c r="BI28" s="55" t="n">
        <x:f>BI22-BI27</x:f>
        <x:v>161902.22222222222</x:v>
      </x:c>
      <x:c r="BJ28" s="55" t="n">
        <x:f>BJ22-BJ27</x:f>
        <x:v>165991.11111111112</x:v>
      </x:c>
      <x:c r="BK28" s="55" t="n">
        <x:f>BK22-BK27</x:f>
        <x:v>170079.99999999997</x:v>
      </x:c>
      <x:c r="BL28" s="1"/>
    </x:row>
    <x:row r="29" ht="21" customHeight="1">
      <x:c r="A29" s="1"/>
      <x:c r="B29" s="1"/>
      <x:c r="C29" s="1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  <x:c r="X29" s="50"/>
      <x:c r="Y29" s="50"/>
      <x:c r="Z29" s="50"/>
      <x:c r="AA29" s="50"/>
      <x:c r="AB29" s="50"/>
      <x:c r="AC29" s="50"/>
      <x:c r="AD29" s="50"/>
      <x:c r="AE29" s="50"/>
      <x:c r="AF29" s="50"/>
      <x:c r="AG29" s="50"/>
      <x:c r="AH29" s="50"/>
      <x:c r="AI29" s="50"/>
      <x:c r="AJ29" s="50"/>
      <x:c r="AK29" s="50"/>
      <x:c r="AL29" s="50"/>
      <x:c r="AM29" s="50"/>
      <x:c r="AN29" s="50"/>
      <x:c r="AO29" s="50"/>
      <x:c r="AP29" s="50"/>
      <x:c r="AQ29" s="50"/>
      <x:c r="AR29" s="50"/>
      <x:c r="AS29" s="50"/>
      <x:c r="AT29" s="50"/>
      <x:c r="AU29" s="50"/>
      <x:c r="AV29" s="50"/>
      <x:c r="AW29" s="50"/>
      <x:c r="AX29" s="50"/>
      <x:c r="AY29" s="50"/>
      <x:c r="AZ29" s="50"/>
      <x:c r="BA29" s="50"/>
      <x:c r="BB29" s="50"/>
      <x:c r="BC29" s="50"/>
      <x:c r="BD29" s="50"/>
      <x:c r="BE29" s="50"/>
      <x:c r="BF29" s="50"/>
      <x:c r="BG29" s="50"/>
      <x:c r="BH29" s="50"/>
      <x:c r="BI29" s="50"/>
      <x:c r="BJ29" s="50"/>
      <x:c r="BK29" s="50"/>
      <x:c r="BL29" s="1"/>
    </x:row>
    <x:row r="30" ht="21" customHeight="1">
      <x:c r="A30" s="1"/>
      <x:c r="B30" s="1"/>
      <x:c r="C30" s="1" t="str">
        <x:v>Fixed operating cash cost</x:v>
      </x:c>
      <x:c r="D30" s="48" t="n">
        <x:f>'Assumptions'!$G$128</x:f>
        <x:v>30000</x:v>
      </x:c>
      <x:c r="E30" s="48" t="n">
        <x:f>'Assumptions'!$G$128</x:f>
        <x:v>30000</x:v>
      </x:c>
      <x:c r="F30" s="48" t="n">
        <x:f>'Assumptions'!$G$128</x:f>
        <x:v>30000</x:v>
      </x:c>
      <x:c r="G30" s="48" t="n">
        <x:f>'Assumptions'!$G$128</x:f>
        <x:v>30000</x:v>
      </x:c>
      <x:c r="H30" s="48" t="n">
        <x:f>'Assumptions'!$G$128</x:f>
        <x:v>30000</x:v>
      </x:c>
      <x:c r="I30" s="48" t="n">
        <x:f>'Assumptions'!$G$128</x:f>
        <x:v>30000</x:v>
      </x:c>
      <x:c r="J30" s="48" t="n">
        <x:f>'Assumptions'!$G$128</x:f>
        <x:v>30000</x:v>
      </x:c>
      <x:c r="K30" s="48" t="n">
        <x:f>'Assumptions'!$G$128</x:f>
        <x:v>30000</x:v>
      </x:c>
      <x:c r="L30" s="48" t="n">
        <x:f>'Assumptions'!$G$128</x:f>
        <x:v>30000</x:v>
      </x:c>
      <x:c r="M30" s="48" t="n">
        <x:f>'Assumptions'!$G$128</x:f>
        <x:v>30000</x:v>
      </x:c>
      <x:c r="N30" s="48" t="n">
        <x:f>'Assumptions'!$G$128</x:f>
        <x:v>30000</x:v>
      </x:c>
      <x:c r="O30" s="48" t="n">
        <x:f>'Assumptions'!$G$128</x:f>
        <x:v>30000</x:v>
      </x:c>
      <x:c r="P30" s="48" t="n">
        <x:f>'Assumptions'!$H$128</x:f>
        <x:v>40000</x:v>
      </x:c>
      <x:c r="Q30" s="48" t="n">
        <x:f>'Assumptions'!$H$128</x:f>
        <x:v>40000</x:v>
      </x:c>
      <x:c r="R30" s="48" t="n">
        <x:f>'Assumptions'!$H$128</x:f>
        <x:v>40000</x:v>
      </x:c>
      <x:c r="S30" s="48" t="n">
        <x:f>'Assumptions'!$H$128</x:f>
        <x:v>40000</x:v>
      </x:c>
      <x:c r="T30" s="48" t="n">
        <x:f>'Assumptions'!$H$128</x:f>
        <x:v>40000</x:v>
      </x:c>
      <x:c r="U30" s="48" t="n">
        <x:f>'Assumptions'!$H$128</x:f>
        <x:v>40000</x:v>
      </x:c>
      <x:c r="V30" s="48" t="n">
        <x:f>'Assumptions'!$H$128</x:f>
        <x:v>40000</x:v>
      </x:c>
      <x:c r="W30" s="48" t="n">
        <x:f>'Assumptions'!$H$128</x:f>
        <x:v>40000</x:v>
      </x:c>
      <x:c r="X30" s="48" t="n">
        <x:f>'Assumptions'!$H$128</x:f>
        <x:v>40000</x:v>
      </x:c>
      <x:c r="Y30" s="48" t="n">
        <x:f>'Assumptions'!$H$128</x:f>
        <x:v>40000</x:v>
      </x:c>
      <x:c r="Z30" s="48" t="n">
        <x:f>'Assumptions'!$H$128</x:f>
        <x:v>40000</x:v>
      </x:c>
      <x:c r="AA30" s="48" t="n">
        <x:f>'Assumptions'!$H$128</x:f>
        <x:v>40000</x:v>
      </x:c>
      <x:c r="AB30" s="48" t="n">
        <x:f>'Assumptions'!$I$128</x:f>
        <x:v>50000</x:v>
      </x:c>
      <x:c r="AC30" s="48" t="n">
        <x:f>'Assumptions'!$I$128</x:f>
        <x:v>50000</x:v>
      </x:c>
      <x:c r="AD30" s="48" t="n">
        <x:f>'Assumptions'!$I$128</x:f>
        <x:v>50000</x:v>
      </x:c>
      <x:c r="AE30" s="48" t="n">
        <x:f>'Assumptions'!$I$128</x:f>
        <x:v>50000</x:v>
      </x:c>
      <x:c r="AF30" s="48" t="n">
        <x:f>'Assumptions'!$I$128</x:f>
        <x:v>50000</x:v>
      </x:c>
      <x:c r="AG30" s="48" t="n">
        <x:f>'Assumptions'!$I$128</x:f>
        <x:v>50000</x:v>
      </x:c>
      <x:c r="AH30" s="48" t="n">
        <x:f>'Assumptions'!$I$128</x:f>
        <x:v>50000</x:v>
      </x:c>
      <x:c r="AI30" s="48" t="n">
        <x:f>'Assumptions'!$I$128</x:f>
        <x:v>50000</x:v>
      </x:c>
      <x:c r="AJ30" s="48" t="n">
        <x:f>'Assumptions'!$I$128</x:f>
        <x:v>50000</x:v>
      </x:c>
      <x:c r="AK30" s="48" t="n">
        <x:f>'Assumptions'!$I$128</x:f>
        <x:v>50000</x:v>
      </x:c>
      <x:c r="AL30" s="48" t="n">
        <x:f>'Assumptions'!$I$128</x:f>
        <x:v>50000</x:v>
      </x:c>
      <x:c r="AM30" s="48" t="n">
        <x:f>'Assumptions'!$I$128</x:f>
        <x:v>50000</x:v>
      </x:c>
      <x:c r="AN30" s="48" t="n">
        <x:f>'Assumptions'!$J$128</x:f>
        <x:v>60000</x:v>
      </x:c>
      <x:c r="AO30" s="48" t="n">
        <x:f>'Assumptions'!$J$128</x:f>
        <x:v>60000</x:v>
      </x:c>
      <x:c r="AP30" s="48" t="n">
        <x:f>'Assumptions'!$J$128</x:f>
        <x:v>60000</x:v>
      </x:c>
      <x:c r="AQ30" s="48" t="n">
        <x:f>'Assumptions'!$J$128</x:f>
        <x:v>60000</x:v>
      </x:c>
      <x:c r="AR30" s="48" t="n">
        <x:f>'Assumptions'!$J$128</x:f>
        <x:v>60000</x:v>
      </x:c>
      <x:c r="AS30" s="48" t="n">
        <x:f>'Assumptions'!$J$128</x:f>
        <x:v>60000</x:v>
      </x:c>
      <x:c r="AT30" s="48" t="n">
        <x:f>'Assumptions'!$J$128</x:f>
        <x:v>60000</x:v>
      </x:c>
      <x:c r="AU30" s="48" t="n">
        <x:f>'Assumptions'!$J$128</x:f>
        <x:v>60000</x:v>
      </x:c>
      <x:c r="AV30" s="48" t="n">
        <x:f>'Assumptions'!$J$128</x:f>
        <x:v>60000</x:v>
      </x:c>
      <x:c r="AW30" s="48" t="n">
        <x:f>'Assumptions'!$J$128</x:f>
        <x:v>60000</x:v>
      </x:c>
      <x:c r="AX30" s="48" t="n">
        <x:f>'Assumptions'!$J$128</x:f>
        <x:v>60000</x:v>
      </x:c>
      <x:c r="AY30" s="48" t="n">
        <x:f>'Assumptions'!$J$128</x:f>
        <x:v>60000</x:v>
      </x:c>
      <x:c r="AZ30" s="48" t="n">
        <x:f>'Assumptions'!$K$128</x:f>
        <x:v>70000</x:v>
      </x:c>
      <x:c r="BA30" s="48" t="n">
        <x:f>'Assumptions'!$K$128</x:f>
        <x:v>70000</x:v>
      </x:c>
      <x:c r="BB30" s="48" t="n">
        <x:f>'Assumptions'!$K$128</x:f>
        <x:v>70000</x:v>
      </x:c>
      <x:c r="BC30" s="48" t="n">
        <x:f>'Assumptions'!$K$128</x:f>
        <x:v>70000</x:v>
      </x:c>
      <x:c r="BD30" s="48" t="n">
        <x:f>'Assumptions'!$K$128</x:f>
        <x:v>70000</x:v>
      </x:c>
      <x:c r="BE30" s="48" t="n">
        <x:f>'Assumptions'!$K$128</x:f>
        <x:v>70000</x:v>
      </x:c>
      <x:c r="BF30" s="48" t="n">
        <x:f>'Assumptions'!$K$128</x:f>
        <x:v>70000</x:v>
      </x:c>
      <x:c r="BG30" s="48" t="n">
        <x:f>'Assumptions'!$K$128</x:f>
        <x:v>70000</x:v>
      </x:c>
      <x:c r="BH30" s="48" t="n">
        <x:f>'Assumptions'!$K$128</x:f>
        <x:v>70000</x:v>
      </x:c>
      <x:c r="BI30" s="48" t="n">
        <x:f>'Assumptions'!$K$128</x:f>
        <x:v>70000</x:v>
      </x:c>
      <x:c r="BJ30" s="48" t="n">
        <x:f>'Assumptions'!$K$128</x:f>
        <x:v>70000</x:v>
      </x:c>
      <x:c r="BK30" s="48" t="n">
        <x:f>'Assumptions'!$K$128</x:f>
        <x:v>70000</x:v>
      </x:c>
      <x:c r="BL30" s="1"/>
    </x:row>
    <x:row r="31" ht="21" customHeight="1">
      <x:c r="A31" s="1"/>
      <x:c r="B31" s="1"/>
      <x:c r="C31" s="1" t="str">
        <x:v>Acquisition spending</x:v>
      </x:c>
      <x:c r="D31" s="48" t="n">
        <x:f>D12*'Assumptions'!$D$32</x:f>
        <x:v>0</x:v>
      </x:c>
      <x:c r="E31" s="48" t="n">
        <x:f>E12*'Assumptions'!$D$32</x:f>
        <x:v>0</x:v>
      </x:c>
      <x:c r="F31" s="48" t="n">
        <x:f>F12*'Assumptions'!$D$32</x:f>
        <x:v>0</x:v>
      </x:c>
      <x:c r="G31" s="48" t="n">
        <x:f>G12*'Assumptions'!$D$32</x:f>
        <x:v>0</x:v>
      </x:c>
      <x:c r="H31" s="48" t="n">
        <x:f>H12*'Assumptions'!$D$32</x:f>
        <x:v>0</x:v>
      </x:c>
      <x:c r="I31" s="48" t="n">
        <x:f>I12*'Assumptions'!$D$32</x:f>
        <x:v>10714.285714285714</x:v>
      </x:c>
      <x:c r="J31" s="48" t="n">
        <x:f>J12*'Assumptions'!$D$32</x:f>
        <x:v>11142.857142857143</x:v>
      </x:c>
      <x:c r="K31" s="48" t="n">
        <x:f>K12*'Assumptions'!$D$32</x:f>
        <x:v>11571.428571428569</x:v>
      </x:c>
      <x:c r="L31" s="48" t="n">
        <x:f>L12*'Assumptions'!$D$32</x:f>
        <x:v>12000.000000000005</x:v>
      </x:c>
      <x:c r="M31" s="48" t="n">
        <x:f>M12*'Assumptions'!$D$32</x:f>
        <x:v>12428.571428571438</x:v>
      </x:c>
      <x:c r="N31" s="48" t="n">
        <x:f>N12*'Assumptions'!$D$32</x:f>
        <x:v>12857.142857142844</x:v>
      </x:c>
      <x:c r="O31" s="48" t="n">
        <x:f>O12*'Assumptions'!$D$32</x:f>
        <x:v>13285.7142857143</x:v>
      </x:c>
      <x:c r="P31" s="48" t="n">
        <x:f>P12*'Assumptions'!$D$32</x:f>
        <x:v>14458.333333333338</x:v>
      </x:c>
      <x:c r="Q31" s="48" t="n">
        <x:f>Q12*'Assumptions'!$D$32</x:f>
        <x:v>14916.666666666662</x:v>
      </x:c>
      <x:c r="R31" s="48" t="n">
        <x:f>R12*'Assumptions'!$D$32</x:f>
        <x:v>15375.000000000011</x:v>
      </x:c>
      <x:c r="S31" s="48" t="n">
        <x:f>S12*'Assumptions'!$D$32</x:f>
        <x:v>15833.333333333325</x:v>
      </x:c>
      <x:c r="T31" s="48" t="n">
        <x:f>T12*'Assumptions'!$D$32</x:f>
        <x:v>16291.666666666675</x:v>
      </x:c>
      <x:c r="U31" s="48" t="n">
        <x:f>U12*'Assumptions'!$D$32</x:f>
        <x:v>16750.000000000022</x:v>
      </x:c>
      <x:c r="V31" s="48" t="n">
        <x:f>V12*'Assumptions'!$D$32</x:f>
        <x:v>17208.33333333335</x:v>
      </x:c>
      <x:c r="W31" s="48" t="n">
        <x:f>W12*'Assumptions'!$D$32</x:f>
        <x:v>17666.66666666665</x:v>
      </x:c>
      <x:c r="X31" s="48" t="n">
        <x:f>X12*'Assumptions'!$D$32</x:f>
        <x:v>18125.000000000022</x:v>
      </x:c>
      <x:c r="Y31" s="48" t="n">
        <x:f>Y12*'Assumptions'!$D$32</x:f>
        <x:v>18583.333333333325</x:v>
      </x:c>
      <x:c r="Z31" s="48" t="n">
        <x:f>Z12*'Assumptions'!$D$32</x:f>
        <x:v>19041.666666666697</x:v>
      </x:c>
      <x:c r="AA31" s="48" t="n">
        <x:f>AA12*'Assumptions'!$D$32</x:f>
        <x:v>19500</x:v>
      </x:c>
      <x:c r="AB31" s="48" t="n">
        <x:f>AB12*'Assumptions'!$D$32</x:f>
        <x:v>19958.33333333335</x:v>
      </x:c>
      <x:c r="AC31" s="48" t="n">
        <x:f>AC12*'Assumptions'!$D$32</x:f>
        <x:v>20416.66666666665</x:v>
      </x:c>
      <x:c r="AD31" s="48" t="n">
        <x:f>AD12*'Assumptions'!$D$32</x:f>
        <x:v>20875.000000000044</x:v>
      </x:c>
      <x:c r="AE31" s="48" t="n">
        <x:f>AE12*'Assumptions'!$D$32</x:f>
        <x:v>21333.33333333335</x:v>
      </x:c>
      <x:c r="AF31" s="48" t="n">
        <x:f>AF12*'Assumptions'!$D$32</x:f>
        <x:v>21791.66666666665</x:v>
      </x:c>
      <x:c r="AG31" s="48" t="n">
        <x:f>AG12*'Assumptions'!$D$32</x:f>
        <x:v>22250.000000000044</x:v>
      </x:c>
      <x:c r="AH31" s="48" t="n">
        <x:f>AH12*'Assumptions'!$D$32</x:f>
        <x:v>22708.33333333335</x:v>
      </x:c>
      <x:c r="AI31" s="48" t="n">
        <x:f>AI12*'Assumptions'!$D$32</x:f>
        <x:v>23166.66666666665</x:v>
      </x:c>
      <x:c r="AJ31" s="48" t="n">
        <x:f>AJ12*'Assumptions'!$D$32</x:f>
        <x:v>23625.000000000044</x:v>
      </x:c>
      <x:c r="AK31" s="48" t="n">
        <x:f>AK12*'Assumptions'!$D$32</x:f>
        <x:v>24083.333333333303</x:v>
      </x:c>
      <x:c r="AL31" s="48" t="n">
        <x:f>AL12*'Assumptions'!$D$32</x:f>
        <x:v>24541.666666666744</x:v>
      </x:c>
      <x:c r="AM31" s="48" t="n">
        <x:f>AM12*'Assumptions'!$D$32</x:f>
        <x:v>25000</x:v>
      </x:c>
      <x:c r="AN31" s="48" t="n">
        <x:f>AN12*'Assumptions'!$D$32</x:f>
        <x:v>28583.33333333335</x:v>
      </x:c>
      <x:c r="AO31" s="48" t="n">
        <x:f>AO12*'Assumptions'!$D$32</x:f>
        <x:v>29166.66666666665</x:v>
      </x:c>
      <x:c r="AP31" s="48" t="n">
        <x:f>AP12*'Assumptions'!$D$32</x:f>
        <x:v>29750.000000000044</x:v>
      </x:c>
      <x:c r="AQ31" s="48" t="n">
        <x:f>AQ12*'Assumptions'!$D$32</x:f>
        <x:v>30333.33333333335</x:v>
      </x:c>
      <x:c r="AR31" s="48" t="n">
        <x:f>AR12*'Assumptions'!$D$32</x:f>
        <x:v>30916.666666666697</x:v>
      </x:c>
      <x:c r="AS31" s="48" t="n">
        <x:f>AS12*'Assumptions'!$D$32</x:f>
        <x:v>31500</x:v>
      </x:c>
      <x:c r="AT31" s="48" t="n">
        <x:f>AT12*'Assumptions'!$D$32</x:f>
        <x:v>32083.333333333303</x:v>
      </x:c>
      <x:c r="AU31" s="48" t="n">
        <x:f>AU12*'Assumptions'!$D$32</x:f>
        <x:v>32666.666666666697</x:v>
      </x:c>
      <x:c r="AV31" s="48" t="n">
        <x:f>AV12*'Assumptions'!$D$32</x:f>
        <x:v>33250</x:v>
      </x:c>
      <x:c r="AW31" s="48" t="n">
        <x:f>AW12*'Assumptions'!$D$32</x:f>
        <x:v>33833.3333333333</x:v>
      </x:c>
      <x:c r="AX31" s="48" t="n">
        <x:f>AX12*'Assumptions'!$D$32</x:f>
        <x:v>34416.66666666679</x:v>
      </x:c>
      <x:c r="AY31" s="48" t="n">
        <x:f>AY12*'Assumptions'!$D$32</x:f>
        <x:v>35000</x:v>
      </x:c>
      <x:c r="AZ31" s="48" t="n">
        <x:f>AZ12*'Assumptions'!$D$32</x:f>
        <x:v>37666.6666666667</x:v>
      </x:c>
      <x:c r="BA31" s="48" t="n">
        <x:f>BA12*'Assumptions'!$D$32</x:f>
        <x:v>38333.3333333333</x:v>
      </x:c>
      <x:c r="BB31" s="48" t="n">
        <x:f>BB12*'Assumptions'!$D$32</x:f>
        <x:v>39000.00000000009</x:v>
      </x:c>
      <x:c r="BC31" s="48" t="n">
        <x:f>BC12*'Assumptions'!$D$32</x:f>
        <x:v>39666.6666666667</x:v>
      </x:c>
      <x:c r="BD31" s="48" t="n">
        <x:f>BD12*'Assumptions'!$D$32</x:f>
        <x:v>40333.3333333333</x:v>
      </x:c>
      <x:c r="BE31" s="48" t="n">
        <x:f>BE12*'Assumptions'!$D$32</x:f>
        <x:v>41000.00000000009</x:v>
      </x:c>
      <x:c r="BF31" s="48" t="n">
        <x:f>BF12*'Assumptions'!$D$32</x:f>
        <x:v>41666.6666666667</x:v>
      </x:c>
      <x:c r="BG31" s="48" t="n">
        <x:f>BG12*'Assumptions'!$D$32</x:f>
        <x:v>42333.3333333333</x:v>
      </x:c>
      <x:c r="BH31" s="48" t="n">
        <x:f>BH12*'Assumptions'!$D$32</x:f>
        <x:v>43000.00000000009</x:v>
      </x:c>
      <x:c r="BI31" s="48" t="n">
        <x:f>BI12*'Assumptions'!$D$32</x:f>
        <x:v>43666.6666666667</x:v>
      </x:c>
      <x:c r="BJ31" s="48" t="n">
        <x:f>BJ12*'Assumptions'!$D$32</x:f>
        <x:v>44333.3333333333</x:v>
      </x:c>
      <x:c r="BK31" s="48" t="n">
        <x:f>BK12*'Assumptions'!$D$32</x:f>
        <x:v>45000.00000000009</x:v>
      </x:c>
      <x:c r="BL31" s="1"/>
    </x:row>
    <x:row r="32" ht="21" customHeight="1">
      <x:c r="A32" s="1"/>
      <x:c r="B32" s="1"/>
      <x:c r="C32" s="54" t="str">
        <x:v>Operating profit before tax</x:v>
      </x:c>
      <x:c r="D32" s="55" t="n">
        <x:f>D28-SUM(D30:D31)</x:f>
        <x:v>-30000</x:v>
      </x:c>
      <x:c r="E32" s="55" t="n">
        <x:f>E28-SUM(E30:E31)</x:f>
        <x:v>-30000</x:v>
      </x:c>
      <x:c r="F32" s="55" t="n">
        <x:f>F28-SUM(F30:F31)</x:f>
        <x:v>-30000</x:v>
      </x:c>
      <x:c r="G32" s="55" t="n">
        <x:f>G28-SUM(G30:G31)</x:f>
        <x:v>-30000</x:v>
      </x:c>
      <x:c r="H32" s="55" t="n">
        <x:f>H28-SUM(H30:H31)</x:f>
        <x:v>-30000</x:v>
      </x:c>
      <x:c r="I32" s="55" t="n">
        <x:f>I28-SUM(I30:I31)</x:f>
        <x:v>-41007.142857142855</x:v>
      </x:c>
      <x:c r="J32" s="55" t="n">
        <x:f>J28-SUM(J30:J31)</x:f>
        <x:v>-39781.42857142857</x:v>
      </x:c>
      <x:c r="K32" s="55" t="n">
        <x:f>K28-SUM(K30:K31)</x:f>
        <x:v>-38555.71428571428</x:v>
      </x:c>
      <x:c r="L32" s="55" t="n">
        <x:f>L28-SUM(L30:L31)</x:f>
        <x:v>-37330.00000000001</x:v>
      </x:c>
      <x:c r="M32" s="55" t="n">
        <x:f>M28-SUM(M30:M31)</x:f>
        <x:v>-36104.285714285725</x:v>
      </x:c>
      <x:c r="N32" s="55" t="n">
        <x:f>N28-SUM(N30:N31)</x:f>
        <x:v>-34878.57142857141</x:v>
      </x:c>
      <x:c r="O32" s="55" t="n">
        <x:f>O28-SUM(O30:O31)</x:f>
        <x:v>-33652.85714285717</x:v>
      </x:c>
      <x:c r="P32" s="55" t="n">
        <x:f>P28-SUM(P30:P31)</x:f>
        <x:v>-41744.43576388889</x:v>
      </x:c>
      <x:c r="Q32" s="55" t="n">
        <x:f>Q28-SUM(Q30:Q31)</x:f>
        <x:v>-40186.918402777774</x:v>
      </x:c>
      <x:c r="R32" s="55" t="n">
        <x:f>R28-SUM(R30:R31)</x:f>
        <x:v>-38629.401041666686</x:v>
      </x:c>
      <x:c r="S32" s="55" t="n">
        <x:f>S28-SUM(S30:S31)</x:f>
        <x:v>-37071.88368055555</x:v>
      </x:c>
      <x:c r="T32" s="55" t="n">
        <x:f>T28-SUM(T30:T31)</x:f>
        <x:v>-35514.36631944445</x:v>
      </x:c>
      <x:c r="U32" s="55" t="n">
        <x:f>U28-SUM(U30:U31)</x:f>
        <x:v>-33956.84895833336</x:v>
      </x:c>
      <x:c r="V32" s="55" t="n">
        <x:f>V28-SUM(V30:V31)</x:f>
        <x:v>-32399.33159722224</x:v>
      </x:c>
      <x:c r="W32" s="55" t="n">
        <x:f>W28-SUM(W30:W31)</x:f>
        <x:v>-30841.814236111095</x:v>
      </x:c>
      <x:c r="X32" s="55" t="n">
        <x:f>X28-SUM(X30:X31)</x:f>
        <x:v>-29284.296875000022</x:v>
      </x:c>
      <x:c r="Y32" s="55" t="n">
        <x:f>Y28-SUM(Y30:Y31)</x:f>
        <x:v>-27726.779513888883</x:v>
      </x:c>
      <x:c r="Z32" s="55" t="n">
        <x:f>Z28-SUM(Z30:Z31)</x:f>
        <x:v>-26169.262152777817</x:v>
      </x:c>
      <x:c r="AA32" s="55" t="n">
        <x:f>AA28-SUM(AA30:AA31)</x:f>
        <x:v>-24611.744791666664</x:v>
      </x:c>
      <x:c r="AB32" s="55" t="n">
        <x:f>AB28-SUM(AB30:AB31)</x:f>
        <x:v>-28966.076388888905</x:v>
      </x:c>
      <x:c r="AC32" s="55" t="n">
        <x:f>AC28-SUM(AC30:AC31)</x:f>
        <x:v>-27116.00694444443</x:v>
      </x:c>
      <x:c r="AD32" s="55" t="n">
        <x:f>AD28-SUM(AD30:AD31)</x:f>
        <x:v>-25265.937500000065</x:v>
      </x:c>
      <x:c r="AE32" s="55" t="n">
        <x:f>AE28-SUM(AE30:AE31)</x:f>
        <x:v>-23415.868055555577</x:v>
      </x:c>
      <x:c r="AF32" s="55" t="n">
        <x:f>AF28-SUM(AF30:AF31)</x:f>
        <x:v>-21565.79861111111</x:v>
      </x:c>
      <x:c r="AG32" s="55" t="n">
        <x:f>AG28-SUM(AG30:AG31)</x:f>
        <x:v>-19715.72916666673</x:v>
      </x:c>
      <x:c r="AH32" s="55" t="n">
        <x:f>AH28-SUM(AH30:AH31)</x:f>
        <x:v>-17865.659722222234</x:v>
      </x:c>
      <x:c r="AI32" s="55" t="n">
        <x:f>AI28-SUM(AI30:AI31)</x:f>
        <x:v>-16015.590277777766</x:v>
      </x:c>
      <x:c r="AJ32" s="55" t="n">
        <x:f>AJ28-SUM(AJ30:AJ31)</x:f>
        <x:v>-14165.520833333387</x:v>
      </x:c>
      <x:c r="AK32" s="55" t="n">
        <x:f>AK28-SUM(AK30:AK31)</x:f>
        <x:v>-12315.451388888847</x:v>
      </x:c>
      <x:c r="AL32" s="55" t="n">
        <x:f>AL28-SUM(AL30:AL31)</x:f>
        <x:v>-10465.381944444525</x:v>
      </x:c>
      <x:c r="AM32" s="55" t="n">
        <x:f>AM28-SUM(AM30:AM31)</x:f>
        <x:v>-8615.312500000015</x:v>
      </x:c>
      <x:c r="AN32" s="55" t="n">
        <x:f>AN28-SUM(AN30:AN31)</x:f>
        <x:v>-12956.440972222234</x:v>
      </x:c>
      <x:c r="AO32" s="55" t="n">
        <x:f>AO28-SUM(AO30:AO31)</x:f>
        <x:v>-10325.434027777766</x:v>
      </x:c>
      <x:c r="AP32" s="55" t="n">
        <x:f>AP28-SUM(AP30:AP31)</x:f>
        <x:v>-7694.427083333387</x:v>
      </x:c>
      <x:c r="AQ32" s="55" t="n">
        <x:f>AQ28-SUM(AQ30:AQ31)</x:f>
        <x:v>-5063.420138888905</x:v>
      </x:c>
      <x:c r="AR32" s="55" t="n">
        <x:f>AR28-SUM(AR30:AR31)</x:f>
        <x:v>-2432.4131944444816</x:v>
      </x:c>
      <x:c r="AS32" s="55" t="n">
        <x:f>AS28-SUM(AS30:AS31)</x:f>
        <x:v>198.59375000004366</x:v>
      </x:c>
      <x:c r="AT32" s="55" t="n">
        <x:f>AT28-SUM(AT30:AT31)</x:f>
        <x:v>2829.6006944444525</x:v>
      </x:c>
      <x:c r="AU32" s="55" t="n">
        <x:f>AU28-SUM(AU30:AU31)</x:f>
        <x:v>5460.607638888861</x:v>
      </x:c>
      <x:c r="AV32" s="55" t="n">
        <x:f>AV28-SUM(AV30:AV31)</x:f>
        <x:v>8091.614583333372</x:v>
      </x:c>
      <x:c r="AW32" s="55" t="n">
        <x:f>AW28-SUM(AW30:AW31)</x:f>
        <x:v>10722.621527777796</x:v>
      </x:c>
      <x:c r="AX32" s="55" t="n">
        <x:f>AX28-SUM(AX30:AX31)</x:f>
        <x:v>13353.628472222088</x:v>
      </x:c>
      <x:c r="AY32" s="55" t="n">
        <x:f>AY28-SUM(AY30:AY31)</x:f>
        <x:v>15984.635416666686</x:v>
      </x:c>
      <x:c r="AZ32" s="55" t="n">
        <x:f>AZ28-SUM(AZ30:AZ31)</x:f>
        <x:v>17435.55555555549</x:v>
      </x:c>
      <x:c r="BA32" s="55" t="n">
        <x:f>BA28-SUM(BA30:BA31)</x:f>
        <x:v>20857.777777777825</x:v>
      </x:c>
      <x:c r="BB32" s="55" t="n">
        <x:f>BB28-SUM(BB30:BB31)</x:f>
        <x:v>24279.99999999994</x:v>
      </x:c>
      <x:c r="BC32" s="55" t="n">
        <x:f>BC28-SUM(BC30:BC31)</x:f>
        <x:v>27702.222222222146</x:v>
      </x:c>
      <x:c r="BD32" s="55" t="n">
        <x:f>BD28-SUM(BD30:BD31)</x:f>
        <x:v>31124.44444444448</x:v>
      </x:c>
      <x:c r="BE32" s="55" t="n">
        <x:f>BE28-SUM(BE30:BE31)</x:f>
        <x:v>34546.66666666654</x:v>
      </x:c>
      <x:c r="BF32" s="55" t="n">
        <x:f>BF28-SUM(BF30:BF31)</x:f>
        <x:v>37968.88888888886</x:v>
      </x:c>
      <x:c r="BG32" s="55" t="n">
        <x:f>BG28-SUM(BG30:BG31)</x:f>
        <x:v>41391.11111111114</x:v>
      </x:c>
      <x:c r="BH32" s="55" t="n">
        <x:f>BH28-SUM(BH30:BH31)</x:f>
        <x:v>44813.3333333332</x:v>
      </x:c>
      <x:c r="BI32" s="55" t="n">
        <x:f>BI28-SUM(BI30:BI31)</x:f>
        <x:v>48235.55555555552</x:v>
      </x:c>
      <x:c r="BJ32" s="55" t="n">
        <x:f>BJ28-SUM(BJ30:BJ31)</x:f>
        <x:v>51657.777777777825</x:v>
      </x:c>
      <x:c r="BK32" s="55" t="n">
        <x:f>BK28-SUM(BK30:BK31)</x:f>
        <x:v>55079.99999999988</x:v>
      </x:c>
      <x:c r="BL32" s="1"/>
    </x:row>
    <x:row r="33" ht="21" customHeight="1">
      <x:c r="A33" s="1"/>
      <x:c r="B33" s="1"/>
      <x:c r="C33" s="1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0"/>
      <x:c r="Z33" s="50"/>
      <x:c r="AA33" s="50"/>
      <x:c r="AB33" s="50"/>
      <x:c r="AC33" s="50"/>
      <x:c r="AD33" s="50"/>
      <x:c r="AE33" s="50"/>
      <x:c r="AF33" s="50"/>
      <x:c r="AG33" s="50"/>
      <x:c r="AH33" s="50"/>
      <x:c r="AI33" s="50"/>
      <x:c r="AJ33" s="50"/>
      <x:c r="AK33" s="50"/>
      <x:c r="AL33" s="50"/>
      <x:c r="AM33" s="50"/>
      <x:c r="AN33" s="50"/>
      <x:c r="AO33" s="50"/>
      <x:c r="AP33" s="50"/>
      <x:c r="AQ33" s="50"/>
      <x:c r="AR33" s="50"/>
      <x:c r="AS33" s="50"/>
      <x:c r="AT33" s="50"/>
      <x:c r="AU33" s="50"/>
      <x:c r="AV33" s="50"/>
      <x:c r="AW33" s="50"/>
      <x:c r="AX33" s="50"/>
      <x:c r="AY33" s="50"/>
      <x:c r="AZ33" s="50"/>
      <x:c r="BA33" s="50"/>
      <x:c r="BB33" s="50"/>
      <x:c r="BC33" s="50"/>
      <x:c r="BD33" s="50"/>
      <x:c r="BE33" s="50"/>
      <x:c r="BF33" s="50"/>
      <x:c r="BG33" s="50"/>
      <x:c r="BH33" s="50"/>
      <x:c r="BI33" s="50"/>
      <x:c r="BJ33" s="50"/>
      <x:c r="BK33" s="50"/>
      <x:c r="BL33" s="1"/>
    </x:row>
    <x:row r="34" ht="21" customHeight="1">
      <x:c r="A34" s="1"/>
      <x:c r="B34" s="1"/>
      <x:c r="C34" s="1" t="str">
        <x:v>Planning cash tax reserve</x:v>
      </x:c>
      <x:c r="D34" s="48" t="n">
        <x:f>MAX(0,D32)*'Assumptions'!$D$13</x:f>
        <x:v>0</x:v>
      </x:c>
      <x:c r="E34" s="48" t="n">
        <x:f>MAX(0,E32)*'Assumptions'!$D$13</x:f>
        <x:v>0</x:v>
      </x:c>
      <x:c r="F34" s="48" t="n">
        <x:f>MAX(0,F32)*'Assumptions'!$D$13</x:f>
        <x:v>0</x:v>
      </x:c>
      <x:c r="G34" s="48" t="n">
        <x:f>MAX(0,G32)*'Assumptions'!$D$13</x:f>
        <x:v>0</x:v>
      </x:c>
      <x:c r="H34" s="48" t="n">
        <x:f>MAX(0,H32)*'Assumptions'!$D$13</x:f>
        <x:v>0</x:v>
      </x:c>
      <x:c r="I34" s="48" t="n">
        <x:f>MAX(0,I32)*'Assumptions'!$D$13</x:f>
        <x:v>0</x:v>
      </x:c>
      <x:c r="J34" s="48" t="n">
        <x:f>MAX(0,J32)*'Assumptions'!$D$13</x:f>
        <x:v>0</x:v>
      </x:c>
      <x:c r="K34" s="48" t="n">
        <x:f>MAX(0,K32)*'Assumptions'!$D$13</x:f>
        <x:v>0</x:v>
      </x:c>
      <x:c r="L34" s="48" t="n">
        <x:f>MAX(0,L32)*'Assumptions'!$D$13</x:f>
        <x:v>0</x:v>
      </x:c>
      <x:c r="M34" s="48" t="n">
        <x:f>MAX(0,M32)*'Assumptions'!$D$13</x:f>
        <x:v>0</x:v>
      </x:c>
      <x:c r="N34" s="48" t="n">
        <x:f>MAX(0,N32)*'Assumptions'!$D$13</x:f>
        <x:v>0</x:v>
      </x:c>
      <x:c r="O34" s="48" t="n">
        <x:f>MAX(0,O32)*'Assumptions'!$D$13</x:f>
        <x:v>0</x:v>
      </x:c>
      <x:c r="P34" s="48" t="n">
        <x:f>MAX(0,P32)*'Assumptions'!$D$13</x:f>
        <x:v>0</x:v>
      </x:c>
      <x:c r="Q34" s="48" t="n">
        <x:f>MAX(0,Q32)*'Assumptions'!$D$13</x:f>
        <x:v>0</x:v>
      </x:c>
      <x:c r="R34" s="48" t="n">
        <x:f>MAX(0,R32)*'Assumptions'!$D$13</x:f>
        <x:v>0</x:v>
      </x:c>
      <x:c r="S34" s="48" t="n">
        <x:f>MAX(0,S32)*'Assumptions'!$D$13</x:f>
        <x:v>0</x:v>
      </x:c>
      <x:c r="T34" s="48" t="n">
        <x:f>MAX(0,T32)*'Assumptions'!$D$13</x:f>
        <x:v>0</x:v>
      </x:c>
      <x:c r="U34" s="48" t="n">
        <x:f>MAX(0,U32)*'Assumptions'!$D$13</x:f>
        <x:v>0</x:v>
      </x:c>
      <x:c r="V34" s="48" t="n">
        <x:f>MAX(0,V32)*'Assumptions'!$D$13</x:f>
        <x:v>0</x:v>
      </x:c>
      <x:c r="W34" s="48" t="n">
        <x:f>MAX(0,W32)*'Assumptions'!$D$13</x:f>
        <x:v>0</x:v>
      </x:c>
      <x:c r="X34" s="48" t="n">
        <x:f>MAX(0,X32)*'Assumptions'!$D$13</x:f>
        <x:v>0</x:v>
      </x:c>
      <x:c r="Y34" s="48" t="n">
        <x:f>MAX(0,Y32)*'Assumptions'!$D$13</x:f>
        <x:v>0</x:v>
      </x:c>
      <x:c r="Z34" s="48" t="n">
        <x:f>MAX(0,Z32)*'Assumptions'!$D$13</x:f>
        <x:v>0</x:v>
      </x:c>
      <x:c r="AA34" s="48" t="n">
        <x:f>MAX(0,AA32)*'Assumptions'!$D$13</x:f>
        <x:v>0</x:v>
      </x:c>
      <x:c r="AB34" s="48" t="n">
        <x:f>MAX(0,AB32)*'Assumptions'!$D$13</x:f>
        <x:v>0</x:v>
      </x:c>
      <x:c r="AC34" s="48" t="n">
        <x:f>MAX(0,AC32)*'Assumptions'!$D$13</x:f>
        <x:v>0</x:v>
      </x:c>
      <x:c r="AD34" s="48" t="n">
        <x:f>MAX(0,AD32)*'Assumptions'!$D$13</x:f>
        <x:v>0</x:v>
      </x:c>
      <x:c r="AE34" s="48" t="n">
        <x:f>MAX(0,AE32)*'Assumptions'!$D$13</x:f>
        <x:v>0</x:v>
      </x:c>
      <x:c r="AF34" s="48" t="n">
        <x:f>MAX(0,AF32)*'Assumptions'!$D$13</x:f>
        <x:v>0</x:v>
      </x:c>
      <x:c r="AG34" s="48" t="n">
        <x:f>MAX(0,AG32)*'Assumptions'!$D$13</x:f>
        <x:v>0</x:v>
      </x:c>
      <x:c r="AH34" s="48" t="n">
        <x:f>MAX(0,AH32)*'Assumptions'!$D$13</x:f>
        <x:v>0</x:v>
      </x:c>
      <x:c r="AI34" s="48" t="n">
        <x:f>MAX(0,AI32)*'Assumptions'!$D$13</x:f>
        <x:v>0</x:v>
      </x:c>
      <x:c r="AJ34" s="48" t="n">
        <x:f>MAX(0,AJ32)*'Assumptions'!$D$13</x:f>
        <x:v>0</x:v>
      </x:c>
      <x:c r="AK34" s="48" t="n">
        <x:f>MAX(0,AK32)*'Assumptions'!$D$13</x:f>
        <x:v>0</x:v>
      </x:c>
      <x:c r="AL34" s="48" t="n">
        <x:f>MAX(0,AL32)*'Assumptions'!$D$13</x:f>
        <x:v>0</x:v>
      </x:c>
      <x:c r="AM34" s="48" t="n">
        <x:f>MAX(0,AM32)*'Assumptions'!$D$13</x:f>
        <x:v>0</x:v>
      </x:c>
      <x:c r="AN34" s="48" t="n">
        <x:f>MAX(0,AN32)*'Assumptions'!$D$13</x:f>
        <x:v>0</x:v>
      </x:c>
      <x:c r="AO34" s="48" t="n">
        <x:f>MAX(0,AO32)*'Assumptions'!$D$13</x:f>
        <x:v>0</x:v>
      </x:c>
      <x:c r="AP34" s="48" t="n">
        <x:f>MAX(0,AP32)*'Assumptions'!$D$13</x:f>
        <x:v>0</x:v>
      </x:c>
      <x:c r="AQ34" s="48" t="n">
        <x:f>MAX(0,AQ32)*'Assumptions'!$D$13</x:f>
        <x:v>0</x:v>
      </x:c>
      <x:c r="AR34" s="48" t="n">
        <x:f>MAX(0,AR32)*'Assumptions'!$D$13</x:f>
        <x:v>0</x:v>
      </x:c>
      <x:c r="AS34" s="48" t="n">
        <x:f>MAX(0,AS32)*'Assumptions'!$D$13</x:f>
        <x:v>39.71875000000873</x:v>
      </x:c>
      <x:c r="AT34" s="48" t="n">
        <x:f>MAX(0,AT32)*'Assumptions'!$D$13</x:f>
        <x:v>565.9201388888905</x:v>
      </x:c>
      <x:c r="AU34" s="48" t="n">
        <x:f>MAX(0,AU32)*'Assumptions'!$D$13</x:f>
        <x:v>1092.1215277777724</x:v>
      </x:c>
      <x:c r="AV34" s="48" t="n">
        <x:f>MAX(0,AV32)*'Assumptions'!$D$13</x:f>
        <x:v>1618.3229166666745</x:v>
      </x:c>
      <x:c r="AW34" s="48" t="n">
        <x:f>MAX(0,AW32)*'Assumptions'!$D$13</x:f>
        <x:v>2144.5243055555593</x:v>
      </x:c>
      <x:c r="AX34" s="48" t="n">
        <x:f>MAX(0,AX32)*'Assumptions'!$D$13</x:f>
        <x:v>2670.725694444418</x:v>
      </x:c>
      <x:c r="AY34" s="48" t="n">
        <x:f>MAX(0,AY32)*'Assumptions'!$D$13</x:f>
        <x:v>3196.9270833333376</x:v>
      </x:c>
      <x:c r="AZ34" s="48" t="n">
        <x:f>MAX(0,AZ32)*'Assumptions'!$D$13</x:f>
        <x:v>3487.111111111098</x:v>
      </x:c>
      <x:c r="BA34" s="48" t="n">
        <x:f>MAX(0,BA32)*'Assumptions'!$D$13</x:f>
        <x:v>4171.555555555565</x:v>
      </x:c>
      <x:c r="BB34" s="48" t="n">
        <x:f>MAX(0,BB32)*'Assumptions'!$D$13</x:f>
        <x:v>4855.999999999988</x:v>
      </x:c>
      <x:c r="BC34" s="48" t="n">
        <x:f>MAX(0,BC32)*'Assumptions'!$D$13</x:f>
        <x:v>5540.44444444443</x:v>
      </x:c>
      <x:c r="BD34" s="48" t="n">
        <x:f>MAX(0,BD32)*'Assumptions'!$D$13</x:f>
        <x:v>6224.888888888897</x:v>
      </x:c>
      <x:c r="BE34" s="48" t="n">
        <x:f>MAX(0,BE32)*'Assumptions'!$D$13</x:f>
        <x:v>6909.3333333333085</x:v>
      </x:c>
      <x:c r="BF34" s="48" t="n">
        <x:f>MAX(0,BF32)*'Assumptions'!$D$13</x:f>
        <x:v>7593.777777777773</x:v>
      </x:c>
      <x:c r="BG34" s="48" t="n">
        <x:f>MAX(0,BG32)*'Assumptions'!$D$13</x:f>
        <x:v>8278.222222222228</x:v>
      </x:c>
      <x:c r="BH34" s="48" t="n">
        <x:f>MAX(0,BH32)*'Assumptions'!$D$13</x:f>
        <x:v>8962.66666666664</x:v>
      </x:c>
      <x:c r="BI34" s="48" t="n">
        <x:f>MAX(0,BI32)*'Assumptions'!$D$13</x:f>
        <x:v>9647.111111111104</x:v>
      </x:c>
      <x:c r="BJ34" s="48" t="n">
        <x:f>MAX(0,BJ32)*'Assumptions'!$D$13</x:f>
        <x:v>10331.555555555566</x:v>
      </x:c>
      <x:c r="BK34" s="48" t="n">
        <x:f>MAX(0,BK32)*'Assumptions'!$D$13</x:f>
        <x:v>11015.999999999978</x:v>
      </x:c>
      <x:c r="BL34" s="1"/>
    </x:row>
    <x:row r="35" ht="21" customHeight="1">
      <x:c r="A35" s="1"/>
      <x:c r="B35" s="1"/>
      <x:c r="C35" s="1" t="str">
        <x:v>Capital spending</x:v>
      </x:c>
      <x:c r="D35" s="48" t="n">
        <x:f>IF(D$7&gt;='Assumptions'!$D$20,'Assumptions'!$D$14,0)</x:f>
        <x:v>0</x:v>
      </x:c>
      <x:c r="E35" s="48" t="n">
        <x:f>IF(E$7&gt;='Assumptions'!$D$20,'Assumptions'!$D$14,0)</x:f>
        <x:v>0</x:v>
      </x:c>
      <x:c r="F35" s="48" t="n">
        <x:f>IF(F$7&gt;='Assumptions'!$D$20,'Assumptions'!$D$14,0)</x:f>
        <x:v>0</x:v>
      </x:c>
      <x:c r="G35" s="48" t="n">
        <x:f>IF(G$7&gt;='Assumptions'!$D$20,'Assumptions'!$D$14,0)</x:f>
        <x:v>0</x:v>
      </x:c>
      <x:c r="H35" s="48" t="n">
        <x:f>IF(H$7&gt;='Assumptions'!$D$20,'Assumptions'!$D$14,0)</x:f>
        <x:v>0</x:v>
      </x:c>
      <x:c r="I35" s="48" t="n">
        <x:f>IF(I$7&gt;='Assumptions'!$D$20,'Assumptions'!$D$14,0)</x:f>
        <x:v>2000</x:v>
      </x:c>
      <x:c r="J35" s="48" t="n">
        <x:f>IF(J$7&gt;='Assumptions'!$D$20,'Assumptions'!$D$14,0)</x:f>
        <x:v>2000</x:v>
      </x:c>
      <x:c r="K35" s="48" t="n">
        <x:f>IF(K$7&gt;='Assumptions'!$D$20,'Assumptions'!$D$14,0)</x:f>
        <x:v>2000</x:v>
      </x:c>
      <x:c r="L35" s="48" t="n">
        <x:f>IF(L$7&gt;='Assumptions'!$D$20,'Assumptions'!$D$14,0)</x:f>
        <x:v>2000</x:v>
      </x:c>
      <x:c r="M35" s="48" t="n">
        <x:f>IF(M$7&gt;='Assumptions'!$D$20,'Assumptions'!$D$14,0)</x:f>
        <x:v>2000</x:v>
      </x:c>
      <x:c r="N35" s="48" t="n">
        <x:f>IF(N$7&gt;='Assumptions'!$D$20,'Assumptions'!$D$14,0)</x:f>
        <x:v>2000</x:v>
      </x:c>
      <x:c r="O35" s="48" t="n">
        <x:f>IF(O$7&gt;='Assumptions'!$D$20,'Assumptions'!$D$14,0)</x:f>
        <x:v>2000</x:v>
      </x:c>
      <x:c r="P35" s="48" t="n">
        <x:f>IF(P$7&gt;='Assumptions'!$D$20,'Assumptions'!$D$14,0)</x:f>
        <x:v>2000</x:v>
      </x:c>
      <x:c r="Q35" s="48" t="n">
        <x:f>IF(Q$7&gt;='Assumptions'!$D$20,'Assumptions'!$D$14,0)</x:f>
        <x:v>2000</x:v>
      </x:c>
      <x:c r="R35" s="48" t="n">
        <x:f>IF(R$7&gt;='Assumptions'!$D$20,'Assumptions'!$D$14,0)</x:f>
        <x:v>2000</x:v>
      </x:c>
      <x:c r="S35" s="48" t="n">
        <x:f>IF(S$7&gt;='Assumptions'!$D$20,'Assumptions'!$D$14,0)</x:f>
        <x:v>2000</x:v>
      </x:c>
      <x:c r="T35" s="48" t="n">
        <x:f>IF(T$7&gt;='Assumptions'!$D$20,'Assumptions'!$D$14,0)</x:f>
        <x:v>2000</x:v>
      </x:c>
      <x:c r="U35" s="48" t="n">
        <x:f>IF(U$7&gt;='Assumptions'!$D$20,'Assumptions'!$D$14,0)</x:f>
        <x:v>2000</x:v>
      </x:c>
      <x:c r="V35" s="48" t="n">
        <x:f>IF(V$7&gt;='Assumptions'!$D$20,'Assumptions'!$D$14,0)</x:f>
        <x:v>2000</x:v>
      </x:c>
      <x:c r="W35" s="48" t="n">
        <x:f>IF(W$7&gt;='Assumptions'!$D$20,'Assumptions'!$D$14,0)</x:f>
        <x:v>2000</x:v>
      </x:c>
      <x:c r="X35" s="48" t="n">
        <x:f>IF(X$7&gt;='Assumptions'!$D$20,'Assumptions'!$D$14,0)</x:f>
        <x:v>2000</x:v>
      </x:c>
      <x:c r="Y35" s="48" t="n">
        <x:f>IF(Y$7&gt;='Assumptions'!$D$20,'Assumptions'!$D$14,0)</x:f>
        <x:v>2000</x:v>
      </x:c>
      <x:c r="Z35" s="48" t="n">
        <x:f>IF(Z$7&gt;='Assumptions'!$D$20,'Assumptions'!$D$14,0)</x:f>
        <x:v>2000</x:v>
      </x:c>
      <x:c r="AA35" s="48" t="n">
        <x:f>IF(AA$7&gt;='Assumptions'!$D$20,'Assumptions'!$D$14,0)</x:f>
        <x:v>2000</x:v>
      </x:c>
      <x:c r="AB35" s="48" t="n">
        <x:f>IF(AB$7&gt;='Assumptions'!$D$20,'Assumptions'!$D$14,0)</x:f>
        <x:v>2000</x:v>
      </x:c>
      <x:c r="AC35" s="48" t="n">
        <x:f>IF(AC$7&gt;='Assumptions'!$D$20,'Assumptions'!$D$14,0)</x:f>
        <x:v>2000</x:v>
      </x:c>
      <x:c r="AD35" s="48" t="n">
        <x:f>IF(AD$7&gt;='Assumptions'!$D$20,'Assumptions'!$D$14,0)</x:f>
        <x:v>2000</x:v>
      </x:c>
      <x:c r="AE35" s="48" t="n">
        <x:f>IF(AE$7&gt;='Assumptions'!$D$20,'Assumptions'!$D$14,0)</x:f>
        <x:v>2000</x:v>
      </x:c>
      <x:c r="AF35" s="48" t="n">
        <x:f>IF(AF$7&gt;='Assumptions'!$D$20,'Assumptions'!$D$14,0)</x:f>
        <x:v>2000</x:v>
      </x:c>
      <x:c r="AG35" s="48" t="n">
        <x:f>IF(AG$7&gt;='Assumptions'!$D$20,'Assumptions'!$D$14,0)</x:f>
        <x:v>2000</x:v>
      </x:c>
      <x:c r="AH35" s="48" t="n">
        <x:f>IF(AH$7&gt;='Assumptions'!$D$20,'Assumptions'!$D$14,0)</x:f>
        <x:v>2000</x:v>
      </x:c>
      <x:c r="AI35" s="48" t="n">
        <x:f>IF(AI$7&gt;='Assumptions'!$D$20,'Assumptions'!$D$14,0)</x:f>
        <x:v>2000</x:v>
      </x:c>
      <x:c r="AJ35" s="48" t="n">
        <x:f>IF(AJ$7&gt;='Assumptions'!$D$20,'Assumptions'!$D$14,0)</x:f>
        <x:v>2000</x:v>
      </x:c>
      <x:c r="AK35" s="48" t="n">
        <x:f>IF(AK$7&gt;='Assumptions'!$D$20,'Assumptions'!$D$14,0)</x:f>
        <x:v>2000</x:v>
      </x:c>
      <x:c r="AL35" s="48" t="n">
        <x:f>IF(AL$7&gt;='Assumptions'!$D$20,'Assumptions'!$D$14,0)</x:f>
        <x:v>2000</x:v>
      </x:c>
      <x:c r="AM35" s="48" t="n">
        <x:f>IF(AM$7&gt;='Assumptions'!$D$20,'Assumptions'!$D$14,0)</x:f>
        <x:v>2000</x:v>
      </x:c>
      <x:c r="AN35" s="48" t="n">
        <x:f>IF(AN$7&gt;='Assumptions'!$D$20,'Assumptions'!$D$14,0)</x:f>
        <x:v>2000</x:v>
      </x:c>
      <x:c r="AO35" s="48" t="n">
        <x:f>IF(AO$7&gt;='Assumptions'!$D$20,'Assumptions'!$D$14,0)</x:f>
        <x:v>2000</x:v>
      </x:c>
      <x:c r="AP35" s="48" t="n">
        <x:f>IF(AP$7&gt;='Assumptions'!$D$20,'Assumptions'!$D$14,0)</x:f>
        <x:v>2000</x:v>
      </x:c>
      <x:c r="AQ35" s="48" t="n">
        <x:f>IF(AQ$7&gt;='Assumptions'!$D$20,'Assumptions'!$D$14,0)</x:f>
        <x:v>2000</x:v>
      </x:c>
      <x:c r="AR35" s="48" t="n">
        <x:f>IF(AR$7&gt;='Assumptions'!$D$20,'Assumptions'!$D$14,0)</x:f>
        <x:v>2000</x:v>
      </x:c>
      <x:c r="AS35" s="48" t="n">
        <x:f>IF(AS$7&gt;='Assumptions'!$D$20,'Assumptions'!$D$14,0)</x:f>
        <x:v>2000</x:v>
      </x:c>
      <x:c r="AT35" s="48" t="n">
        <x:f>IF(AT$7&gt;='Assumptions'!$D$20,'Assumptions'!$D$14,0)</x:f>
        <x:v>2000</x:v>
      </x:c>
      <x:c r="AU35" s="48" t="n">
        <x:f>IF(AU$7&gt;='Assumptions'!$D$20,'Assumptions'!$D$14,0)</x:f>
        <x:v>2000</x:v>
      </x:c>
      <x:c r="AV35" s="48" t="n">
        <x:f>IF(AV$7&gt;='Assumptions'!$D$20,'Assumptions'!$D$14,0)</x:f>
        <x:v>2000</x:v>
      </x:c>
      <x:c r="AW35" s="48" t="n">
        <x:f>IF(AW$7&gt;='Assumptions'!$D$20,'Assumptions'!$D$14,0)</x:f>
        <x:v>2000</x:v>
      </x:c>
      <x:c r="AX35" s="48" t="n">
        <x:f>IF(AX$7&gt;='Assumptions'!$D$20,'Assumptions'!$D$14,0)</x:f>
        <x:v>2000</x:v>
      </x:c>
      <x:c r="AY35" s="48" t="n">
        <x:f>IF(AY$7&gt;='Assumptions'!$D$20,'Assumptions'!$D$14,0)</x:f>
        <x:v>2000</x:v>
      </x:c>
      <x:c r="AZ35" s="48" t="n">
        <x:f>IF(AZ$7&gt;='Assumptions'!$D$20,'Assumptions'!$D$14,0)</x:f>
        <x:v>2000</x:v>
      </x:c>
      <x:c r="BA35" s="48" t="n">
        <x:f>IF(BA$7&gt;='Assumptions'!$D$20,'Assumptions'!$D$14,0)</x:f>
        <x:v>2000</x:v>
      </x:c>
      <x:c r="BB35" s="48" t="n">
        <x:f>IF(BB$7&gt;='Assumptions'!$D$20,'Assumptions'!$D$14,0)</x:f>
        <x:v>2000</x:v>
      </x:c>
      <x:c r="BC35" s="48" t="n">
        <x:f>IF(BC$7&gt;='Assumptions'!$D$20,'Assumptions'!$D$14,0)</x:f>
        <x:v>2000</x:v>
      </x:c>
      <x:c r="BD35" s="48" t="n">
        <x:f>IF(BD$7&gt;='Assumptions'!$D$20,'Assumptions'!$D$14,0)</x:f>
        <x:v>2000</x:v>
      </x:c>
      <x:c r="BE35" s="48" t="n">
        <x:f>IF(BE$7&gt;='Assumptions'!$D$20,'Assumptions'!$D$14,0)</x:f>
        <x:v>2000</x:v>
      </x:c>
      <x:c r="BF35" s="48" t="n">
        <x:f>IF(BF$7&gt;='Assumptions'!$D$20,'Assumptions'!$D$14,0)</x:f>
        <x:v>2000</x:v>
      </x:c>
      <x:c r="BG35" s="48" t="n">
        <x:f>IF(BG$7&gt;='Assumptions'!$D$20,'Assumptions'!$D$14,0)</x:f>
        <x:v>2000</x:v>
      </x:c>
      <x:c r="BH35" s="48" t="n">
        <x:f>IF(BH$7&gt;='Assumptions'!$D$20,'Assumptions'!$D$14,0)</x:f>
        <x:v>2000</x:v>
      </x:c>
      <x:c r="BI35" s="48" t="n">
        <x:f>IF(BI$7&gt;='Assumptions'!$D$20,'Assumptions'!$D$14,0)</x:f>
        <x:v>2000</x:v>
      </x:c>
      <x:c r="BJ35" s="48" t="n">
        <x:f>IF(BJ$7&gt;='Assumptions'!$D$20,'Assumptions'!$D$14,0)</x:f>
        <x:v>2000</x:v>
      </x:c>
      <x:c r="BK35" s="48" t="n">
        <x:f>IF(BK$7&gt;='Assumptions'!$D$20,'Assumptions'!$D$14,0)</x:f>
        <x:v>2000</x:v>
      </x:c>
      <x:c r="BL35" s="1"/>
    </x:row>
    <x:row r="36" ht="21" customHeight="1">
      <x:c r="A36" s="1"/>
      <x:c r="B36" s="1"/>
      <x:c r="C36" s="1" t="str">
        <x:v>One-time setup cash</x:v>
      </x:c>
      <x:c r="D36" s="48" t="n">
        <x:f>IF(D$7&lt;='Assumptions'!$D$12,'Assumptions'!$D$11/'Assumptions'!$D$12,0)</x:f>
        <x:v>50000</x:v>
      </x:c>
      <x:c r="E36" s="48" t="n">
        <x:f>IF(E$7&lt;='Assumptions'!$D$12,'Assumptions'!$D$11/'Assumptions'!$D$12,0)</x:f>
        <x:v>50000</x:v>
      </x:c>
      <x:c r="F36" s="48" t="n">
        <x:f>IF(F$7&lt;='Assumptions'!$D$12,'Assumptions'!$D$11/'Assumptions'!$D$12,0)</x:f>
        <x:v>50000</x:v>
      </x:c>
      <x:c r="G36" s="48" t="n">
        <x:f>IF(G$7&lt;='Assumptions'!$D$12,'Assumptions'!$D$11/'Assumptions'!$D$12,0)</x:f>
        <x:v>50000</x:v>
      </x:c>
      <x:c r="H36" s="48" t="n">
        <x:f>IF(H$7&lt;='Assumptions'!$D$12,'Assumptions'!$D$11/'Assumptions'!$D$12,0)</x:f>
        <x:v>50000</x:v>
      </x:c>
      <x:c r="I36" s="48" t="n">
        <x:f>IF(I$7&lt;='Assumptions'!$D$12,'Assumptions'!$D$11/'Assumptions'!$D$12,0)</x:f>
        <x:v>50000</x:v>
      </x:c>
      <x:c r="J36" s="48" t="n">
        <x:f>IF(J$7&lt;='Assumptions'!$D$12,'Assumptions'!$D$11/'Assumptions'!$D$12,0)</x:f>
        <x:v>0</x:v>
      </x:c>
      <x:c r="K36" s="48" t="n">
        <x:f>IF(K$7&lt;='Assumptions'!$D$12,'Assumptions'!$D$11/'Assumptions'!$D$12,0)</x:f>
        <x:v>0</x:v>
      </x:c>
      <x:c r="L36" s="48" t="n">
        <x:f>IF(L$7&lt;='Assumptions'!$D$12,'Assumptions'!$D$11/'Assumptions'!$D$12,0)</x:f>
        <x:v>0</x:v>
      </x:c>
      <x:c r="M36" s="48" t="n">
        <x:f>IF(M$7&lt;='Assumptions'!$D$12,'Assumptions'!$D$11/'Assumptions'!$D$12,0)</x:f>
        <x:v>0</x:v>
      </x:c>
      <x:c r="N36" s="48" t="n">
        <x:f>IF(N$7&lt;='Assumptions'!$D$12,'Assumptions'!$D$11/'Assumptions'!$D$12,0)</x:f>
        <x:v>0</x:v>
      </x:c>
      <x:c r="O36" s="48" t="n">
        <x:f>IF(O$7&lt;='Assumptions'!$D$12,'Assumptions'!$D$11/'Assumptions'!$D$12,0)</x:f>
        <x:v>0</x:v>
      </x:c>
      <x:c r="P36" s="48" t="n">
        <x:f>IF(P$7&lt;='Assumptions'!$D$12,'Assumptions'!$D$11/'Assumptions'!$D$12,0)</x:f>
        <x:v>0</x:v>
      </x:c>
      <x:c r="Q36" s="48" t="n">
        <x:f>IF(Q$7&lt;='Assumptions'!$D$12,'Assumptions'!$D$11/'Assumptions'!$D$12,0)</x:f>
        <x:v>0</x:v>
      </x:c>
      <x:c r="R36" s="48" t="n">
        <x:f>IF(R$7&lt;='Assumptions'!$D$12,'Assumptions'!$D$11/'Assumptions'!$D$12,0)</x:f>
        <x:v>0</x:v>
      </x:c>
      <x:c r="S36" s="48" t="n">
        <x:f>IF(S$7&lt;='Assumptions'!$D$12,'Assumptions'!$D$11/'Assumptions'!$D$12,0)</x:f>
        <x:v>0</x:v>
      </x:c>
      <x:c r="T36" s="48" t="n">
        <x:f>IF(T$7&lt;='Assumptions'!$D$12,'Assumptions'!$D$11/'Assumptions'!$D$12,0)</x:f>
        <x:v>0</x:v>
      </x:c>
      <x:c r="U36" s="48" t="n">
        <x:f>IF(U$7&lt;='Assumptions'!$D$12,'Assumptions'!$D$11/'Assumptions'!$D$12,0)</x:f>
        <x:v>0</x:v>
      </x:c>
      <x:c r="V36" s="48" t="n">
        <x:f>IF(V$7&lt;='Assumptions'!$D$12,'Assumptions'!$D$11/'Assumptions'!$D$12,0)</x:f>
        <x:v>0</x:v>
      </x:c>
      <x:c r="W36" s="48" t="n">
        <x:f>IF(W$7&lt;='Assumptions'!$D$12,'Assumptions'!$D$11/'Assumptions'!$D$12,0)</x:f>
        <x:v>0</x:v>
      </x:c>
      <x:c r="X36" s="48" t="n">
        <x:f>IF(X$7&lt;='Assumptions'!$D$12,'Assumptions'!$D$11/'Assumptions'!$D$12,0)</x:f>
        <x:v>0</x:v>
      </x:c>
      <x:c r="Y36" s="48" t="n">
        <x:f>IF(Y$7&lt;='Assumptions'!$D$12,'Assumptions'!$D$11/'Assumptions'!$D$12,0)</x:f>
        <x:v>0</x:v>
      </x:c>
      <x:c r="Z36" s="48" t="n">
        <x:f>IF(Z$7&lt;='Assumptions'!$D$12,'Assumptions'!$D$11/'Assumptions'!$D$12,0)</x:f>
        <x:v>0</x:v>
      </x:c>
      <x:c r="AA36" s="48" t="n">
        <x:f>IF(AA$7&lt;='Assumptions'!$D$12,'Assumptions'!$D$11/'Assumptions'!$D$12,0)</x:f>
        <x:v>0</x:v>
      </x:c>
      <x:c r="AB36" s="48" t="n">
        <x:f>IF(AB$7&lt;='Assumptions'!$D$12,'Assumptions'!$D$11/'Assumptions'!$D$12,0)</x:f>
        <x:v>0</x:v>
      </x:c>
      <x:c r="AC36" s="48" t="n">
        <x:f>IF(AC$7&lt;='Assumptions'!$D$12,'Assumptions'!$D$11/'Assumptions'!$D$12,0)</x:f>
        <x:v>0</x:v>
      </x:c>
      <x:c r="AD36" s="48" t="n">
        <x:f>IF(AD$7&lt;='Assumptions'!$D$12,'Assumptions'!$D$11/'Assumptions'!$D$12,0)</x:f>
        <x:v>0</x:v>
      </x:c>
      <x:c r="AE36" s="48" t="n">
        <x:f>IF(AE$7&lt;='Assumptions'!$D$12,'Assumptions'!$D$11/'Assumptions'!$D$12,0)</x:f>
        <x:v>0</x:v>
      </x:c>
      <x:c r="AF36" s="48" t="n">
        <x:f>IF(AF$7&lt;='Assumptions'!$D$12,'Assumptions'!$D$11/'Assumptions'!$D$12,0)</x:f>
        <x:v>0</x:v>
      </x:c>
      <x:c r="AG36" s="48" t="n">
        <x:f>IF(AG$7&lt;='Assumptions'!$D$12,'Assumptions'!$D$11/'Assumptions'!$D$12,0)</x:f>
        <x:v>0</x:v>
      </x:c>
      <x:c r="AH36" s="48" t="n">
        <x:f>IF(AH$7&lt;='Assumptions'!$D$12,'Assumptions'!$D$11/'Assumptions'!$D$12,0)</x:f>
        <x:v>0</x:v>
      </x:c>
      <x:c r="AI36" s="48" t="n">
        <x:f>IF(AI$7&lt;='Assumptions'!$D$12,'Assumptions'!$D$11/'Assumptions'!$D$12,0)</x:f>
        <x:v>0</x:v>
      </x:c>
      <x:c r="AJ36" s="48" t="n">
        <x:f>IF(AJ$7&lt;='Assumptions'!$D$12,'Assumptions'!$D$11/'Assumptions'!$D$12,0)</x:f>
        <x:v>0</x:v>
      </x:c>
      <x:c r="AK36" s="48" t="n">
        <x:f>IF(AK$7&lt;='Assumptions'!$D$12,'Assumptions'!$D$11/'Assumptions'!$D$12,0)</x:f>
        <x:v>0</x:v>
      </x:c>
      <x:c r="AL36" s="48" t="n">
        <x:f>IF(AL$7&lt;='Assumptions'!$D$12,'Assumptions'!$D$11/'Assumptions'!$D$12,0)</x:f>
        <x:v>0</x:v>
      </x:c>
      <x:c r="AM36" s="48" t="n">
        <x:f>IF(AM$7&lt;='Assumptions'!$D$12,'Assumptions'!$D$11/'Assumptions'!$D$12,0)</x:f>
        <x:v>0</x:v>
      </x:c>
      <x:c r="AN36" s="48" t="n">
        <x:f>IF(AN$7&lt;='Assumptions'!$D$12,'Assumptions'!$D$11/'Assumptions'!$D$12,0)</x:f>
        <x:v>0</x:v>
      </x:c>
      <x:c r="AO36" s="48" t="n">
        <x:f>IF(AO$7&lt;='Assumptions'!$D$12,'Assumptions'!$D$11/'Assumptions'!$D$12,0)</x:f>
        <x:v>0</x:v>
      </x:c>
      <x:c r="AP36" s="48" t="n">
        <x:f>IF(AP$7&lt;='Assumptions'!$D$12,'Assumptions'!$D$11/'Assumptions'!$D$12,0)</x:f>
        <x:v>0</x:v>
      </x:c>
      <x:c r="AQ36" s="48" t="n">
        <x:f>IF(AQ$7&lt;='Assumptions'!$D$12,'Assumptions'!$D$11/'Assumptions'!$D$12,0)</x:f>
        <x:v>0</x:v>
      </x:c>
      <x:c r="AR36" s="48" t="n">
        <x:f>IF(AR$7&lt;='Assumptions'!$D$12,'Assumptions'!$D$11/'Assumptions'!$D$12,0)</x:f>
        <x:v>0</x:v>
      </x:c>
      <x:c r="AS36" s="48" t="n">
        <x:f>IF(AS$7&lt;='Assumptions'!$D$12,'Assumptions'!$D$11/'Assumptions'!$D$12,0)</x:f>
        <x:v>0</x:v>
      </x:c>
      <x:c r="AT36" s="48" t="n">
        <x:f>IF(AT$7&lt;='Assumptions'!$D$12,'Assumptions'!$D$11/'Assumptions'!$D$12,0)</x:f>
        <x:v>0</x:v>
      </x:c>
      <x:c r="AU36" s="48" t="n">
        <x:f>IF(AU$7&lt;='Assumptions'!$D$12,'Assumptions'!$D$11/'Assumptions'!$D$12,0)</x:f>
        <x:v>0</x:v>
      </x:c>
      <x:c r="AV36" s="48" t="n">
        <x:f>IF(AV$7&lt;='Assumptions'!$D$12,'Assumptions'!$D$11/'Assumptions'!$D$12,0)</x:f>
        <x:v>0</x:v>
      </x:c>
      <x:c r="AW36" s="48" t="n">
        <x:f>IF(AW$7&lt;='Assumptions'!$D$12,'Assumptions'!$D$11/'Assumptions'!$D$12,0)</x:f>
        <x:v>0</x:v>
      </x:c>
      <x:c r="AX36" s="48" t="n">
        <x:f>IF(AX$7&lt;='Assumptions'!$D$12,'Assumptions'!$D$11/'Assumptions'!$D$12,0)</x:f>
        <x:v>0</x:v>
      </x:c>
      <x:c r="AY36" s="48" t="n">
        <x:f>IF(AY$7&lt;='Assumptions'!$D$12,'Assumptions'!$D$11/'Assumptions'!$D$12,0)</x:f>
        <x:v>0</x:v>
      </x:c>
      <x:c r="AZ36" s="48" t="n">
        <x:f>IF(AZ$7&lt;='Assumptions'!$D$12,'Assumptions'!$D$11/'Assumptions'!$D$12,0)</x:f>
        <x:v>0</x:v>
      </x:c>
      <x:c r="BA36" s="48" t="n">
        <x:f>IF(BA$7&lt;='Assumptions'!$D$12,'Assumptions'!$D$11/'Assumptions'!$D$12,0)</x:f>
        <x:v>0</x:v>
      </x:c>
      <x:c r="BB36" s="48" t="n">
        <x:f>IF(BB$7&lt;='Assumptions'!$D$12,'Assumptions'!$D$11/'Assumptions'!$D$12,0)</x:f>
        <x:v>0</x:v>
      </x:c>
      <x:c r="BC36" s="48" t="n">
        <x:f>IF(BC$7&lt;='Assumptions'!$D$12,'Assumptions'!$D$11/'Assumptions'!$D$12,0)</x:f>
        <x:v>0</x:v>
      </x:c>
      <x:c r="BD36" s="48" t="n">
        <x:f>IF(BD$7&lt;='Assumptions'!$D$12,'Assumptions'!$D$11/'Assumptions'!$D$12,0)</x:f>
        <x:v>0</x:v>
      </x:c>
      <x:c r="BE36" s="48" t="n">
        <x:f>IF(BE$7&lt;='Assumptions'!$D$12,'Assumptions'!$D$11/'Assumptions'!$D$12,0)</x:f>
        <x:v>0</x:v>
      </x:c>
      <x:c r="BF36" s="48" t="n">
        <x:f>IF(BF$7&lt;='Assumptions'!$D$12,'Assumptions'!$D$11/'Assumptions'!$D$12,0)</x:f>
        <x:v>0</x:v>
      </x:c>
      <x:c r="BG36" s="48" t="n">
        <x:f>IF(BG$7&lt;='Assumptions'!$D$12,'Assumptions'!$D$11/'Assumptions'!$D$12,0)</x:f>
        <x:v>0</x:v>
      </x:c>
      <x:c r="BH36" s="48" t="n">
        <x:f>IF(BH$7&lt;='Assumptions'!$D$12,'Assumptions'!$D$11/'Assumptions'!$D$12,0)</x:f>
        <x:v>0</x:v>
      </x:c>
      <x:c r="BI36" s="48" t="n">
        <x:f>IF(BI$7&lt;='Assumptions'!$D$12,'Assumptions'!$D$11/'Assumptions'!$D$12,0)</x:f>
        <x:v>0</x:v>
      </x:c>
      <x:c r="BJ36" s="48" t="n">
        <x:f>IF(BJ$7&lt;='Assumptions'!$D$12,'Assumptions'!$D$11/'Assumptions'!$D$12,0)</x:f>
        <x:v>0</x:v>
      </x:c>
      <x:c r="BK36" s="48" t="n">
        <x:f>IF(BK$7&lt;='Assumptions'!$D$12,'Assumptions'!$D$11/'Assumptions'!$D$12,0)</x:f>
        <x:v>0</x:v>
      </x:c>
      <x:c r="BL36" s="1"/>
    </x:row>
    <x:row r="37" ht="21" customHeight="1">
      <x:c r="A37" s="1"/>
      <x:c r="B37" s="1"/>
      <x:c r="C37" s="1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  <x:c r="X37" s="50"/>
      <x:c r="Y37" s="50"/>
      <x:c r="Z37" s="50"/>
      <x:c r="AA37" s="50"/>
      <x:c r="AB37" s="50"/>
      <x:c r="AC37" s="50"/>
      <x:c r="AD37" s="50"/>
      <x:c r="AE37" s="50"/>
      <x:c r="AF37" s="50"/>
      <x:c r="AG37" s="50"/>
      <x:c r="AH37" s="50"/>
      <x:c r="AI37" s="50"/>
      <x:c r="AJ37" s="50"/>
      <x:c r="AK37" s="50"/>
      <x:c r="AL37" s="50"/>
      <x:c r="AM37" s="50"/>
      <x:c r="AN37" s="50"/>
      <x:c r="AO37" s="50"/>
      <x:c r="AP37" s="50"/>
      <x:c r="AQ37" s="50"/>
      <x:c r="AR37" s="50"/>
      <x:c r="AS37" s="50"/>
      <x:c r="AT37" s="50"/>
      <x:c r="AU37" s="50"/>
      <x:c r="AV37" s="50"/>
      <x:c r="AW37" s="50"/>
      <x:c r="AX37" s="50"/>
      <x:c r="AY37" s="50"/>
      <x:c r="AZ37" s="50"/>
      <x:c r="BA37" s="50"/>
      <x:c r="BB37" s="50"/>
      <x:c r="BC37" s="50"/>
      <x:c r="BD37" s="50"/>
      <x:c r="BE37" s="50"/>
      <x:c r="BF37" s="50"/>
      <x:c r="BG37" s="50"/>
      <x:c r="BH37" s="50"/>
      <x:c r="BI37" s="50"/>
      <x:c r="BJ37" s="50"/>
      <x:c r="BK37" s="50"/>
      <x:c r="BL37" s="1"/>
    </x:row>
    <x:row r="38" ht="21" customHeight="1">
      <x:c r="A38" s="1"/>
      <x:c r="B38" s="1"/>
      <x:c r="C38" s="1" t="str">
        <x:v>Corporate prefunding held</x:v>
      </x:c>
      <x:c r="D38" s="48" t="n">
        <x:f>MAX('Assumptions'!$D$9,D18*'Assumptions'!$D$56*'Assumptions'!$D$62/30*'Assumptions'!$D$15)</x:f>
        <x:v>300000</x:v>
      </x:c>
      <x:c r="E38" s="48" t="n">
        <x:f>MAX(D38,E18*'Assumptions'!$D$56*'Assumptions'!$D$62/30*'Assumptions'!$D$15)</x:f>
        <x:v>300000</x:v>
      </x:c>
      <x:c r="F38" s="48" t="n">
        <x:f>MAX(E38,F18*'Assumptions'!$D$56*'Assumptions'!$D$62/30*'Assumptions'!$D$15)</x:f>
        <x:v>300000</x:v>
      </x:c>
      <x:c r="G38" s="48" t="n">
        <x:f>MAX(F38,G18*'Assumptions'!$D$56*'Assumptions'!$D$62/30*'Assumptions'!$D$15)</x:f>
        <x:v>300000</x:v>
      </x:c>
      <x:c r="H38" s="48" t="n">
        <x:f>MAX(G38,H18*'Assumptions'!$D$56*'Assumptions'!$D$62/30*'Assumptions'!$D$15)</x:f>
        <x:v>300000</x:v>
      </x:c>
      <x:c r="I38" s="48" t="n">
        <x:f>MAX(H38,I18*'Assumptions'!$D$56*'Assumptions'!$D$62/30*'Assumptions'!$D$15)</x:f>
        <x:v>300000</x:v>
      </x:c>
      <x:c r="J38" s="48" t="n">
        <x:f>MAX(I38,J18*'Assumptions'!$D$56*'Assumptions'!$D$62/30*'Assumptions'!$D$15)</x:f>
        <x:v>300000</x:v>
      </x:c>
      <x:c r="K38" s="48" t="n">
        <x:f>MAX(J38,K18*'Assumptions'!$D$56*'Assumptions'!$D$62/30*'Assumptions'!$D$15)</x:f>
        <x:v>300000</x:v>
      </x:c>
      <x:c r="L38" s="48" t="n">
        <x:f>MAX(K38,L18*'Assumptions'!$D$56*'Assumptions'!$D$62/30*'Assumptions'!$D$15)</x:f>
        <x:v>300000</x:v>
      </x:c>
      <x:c r="M38" s="48" t="n">
        <x:f>MAX(L38,M18*'Assumptions'!$D$56*'Assumptions'!$D$62/30*'Assumptions'!$D$15)</x:f>
        <x:v>300000</x:v>
      </x:c>
      <x:c r="N38" s="48" t="n">
        <x:f>MAX(M38,N18*'Assumptions'!$D$56*'Assumptions'!$D$62/30*'Assumptions'!$D$15)</x:f>
        <x:v>300000</x:v>
      </x:c>
      <x:c r="O38" s="48" t="n">
        <x:f>MAX(N38,O18*'Assumptions'!$D$56*'Assumptions'!$D$62/30*'Assumptions'!$D$15)</x:f>
        <x:v>300000</x:v>
      </x:c>
      <x:c r="P38" s="48" t="n">
        <x:f>MAX(O38,P18*'Assumptions'!$D$56*'Assumptions'!$D$62/30*'Assumptions'!$D$15)</x:f>
        <x:v>300000</x:v>
      </x:c>
      <x:c r="Q38" s="48" t="n">
        <x:f>MAX(P38,Q18*'Assumptions'!$D$56*'Assumptions'!$D$62/30*'Assumptions'!$D$15)</x:f>
        <x:v>300000</x:v>
      </x:c>
      <x:c r="R38" s="48" t="n">
        <x:f>MAX(Q38,R18*'Assumptions'!$D$56*'Assumptions'!$D$62/30*'Assumptions'!$D$15)</x:f>
        <x:v>300000</x:v>
      </x:c>
      <x:c r="S38" s="48" t="n">
        <x:f>MAX(R38,S18*'Assumptions'!$D$56*'Assumptions'!$D$62/30*'Assumptions'!$D$15)</x:f>
        <x:v>300000</x:v>
      </x:c>
      <x:c r="T38" s="48" t="n">
        <x:f>MAX(S38,T18*'Assumptions'!$D$56*'Assumptions'!$D$62/30*'Assumptions'!$D$15)</x:f>
        <x:v>300000</x:v>
      </x:c>
      <x:c r="U38" s="48" t="n">
        <x:f>MAX(T38,U18*'Assumptions'!$D$56*'Assumptions'!$D$62/30*'Assumptions'!$D$15)</x:f>
        <x:v>300000</x:v>
      </x:c>
      <x:c r="V38" s="48" t="n">
        <x:f>MAX(U38,V18*'Assumptions'!$D$56*'Assumptions'!$D$62/30*'Assumptions'!$D$15)</x:f>
        <x:v>300000</x:v>
      </x:c>
      <x:c r="W38" s="48" t="n">
        <x:f>MAX(V38,W18*'Assumptions'!$D$56*'Assumptions'!$D$62/30*'Assumptions'!$D$15)</x:f>
        <x:v>300000</x:v>
      </x:c>
      <x:c r="X38" s="48" t="n">
        <x:f>MAX(W38,X18*'Assumptions'!$D$56*'Assumptions'!$D$62/30*'Assumptions'!$D$15)</x:f>
        <x:v>300000</x:v>
      </x:c>
      <x:c r="Y38" s="48" t="n">
        <x:f>MAX(X38,Y18*'Assumptions'!$D$56*'Assumptions'!$D$62/30*'Assumptions'!$D$15)</x:f>
        <x:v>300000</x:v>
      </x:c>
      <x:c r="Z38" s="48" t="n">
        <x:f>MAX(Y38,Z18*'Assumptions'!$D$56*'Assumptions'!$D$62/30*'Assumptions'!$D$15)</x:f>
        <x:v>300000</x:v>
      </x:c>
      <x:c r="AA38" s="48" t="n">
        <x:f>MAX(Z38,AA18*'Assumptions'!$D$56*'Assumptions'!$D$62/30*'Assumptions'!$D$15)</x:f>
        <x:v>300000</x:v>
      </x:c>
      <x:c r="AB38" s="48" t="n">
        <x:f>MAX(AA38,AB18*'Assumptions'!$D$56*'Assumptions'!$D$62/30*'Assumptions'!$D$15)</x:f>
        <x:v>300000</x:v>
      </x:c>
      <x:c r="AC38" s="48" t="n">
        <x:f>MAX(AB38,AC18*'Assumptions'!$D$56*'Assumptions'!$D$62/30*'Assumptions'!$D$15)</x:f>
        <x:v>300000</x:v>
      </x:c>
      <x:c r="AD38" s="48" t="n">
        <x:f>MAX(AC38,AD18*'Assumptions'!$D$56*'Assumptions'!$D$62/30*'Assumptions'!$D$15)</x:f>
        <x:v>300000</x:v>
      </x:c>
      <x:c r="AE38" s="48" t="n">
        <x:f>MAX(AD38,AE18*'Assumptions'!$D$56*'Assumptions'!$D$62/30*'Assumptions'!$D$15)</x:f>
        <x:v>300000</x:v>
      </x:c>
      <x:c r="AF38" s="48" t="n">
        <x:f>MAX(AE38,AF18*'Assumptions'!$D$56*'Assumptions'!$D$62/30*'Assumptions'!$D$15)</x:f>
        <x:v>300000</x:v>
      </x:c>
      <x:c r="AG38" s="48" t="n">
        <x:f>MAX(AF38,AG18*'Assumptions'!$D$56*'Assumptions'!$D$62/30*'Assumptions'!$D$15)</x:f>
        <x:v>300000</x:v>
      </x:c>
      <x:c r="AH38" s="48" t="n">
        <x:f>MAX(AG38,AH18*'Assumptions'!$D$56*'Assumptions'!$D$62/30*'Assumptions'!$D$15)</x:f>
        <x:v>300000</x:v>
      </x:c>
      <x:c r="AI38" s="48" t="n">
        <x:f>MAX(AH38,AI18*'Assumptions'!$D$56*'Assumptions'!$D$62/30*'Assumptions'!$D$15)</x:f>
        <x:v>300000</x:v>
      </x:c>
      <x:c r="AJ38" s="48" t="n">
        <x:f>MAX(AI38,AJ18*'Assumptions'!$D$56*'Assumptions'!$D$62/30*'Assumptions'!$D$15)</x:f>
        <x:v>300000</x:v>
      </x:c>
      <x:c r="AK38" s="48" t="n">
        <x:f>MAX(AJ38,AK18*'Assumptions'!$D$56*'Assumptions'!$D$62/30*'Assumptions'!$D$15)</x:f>
        <x:v>300000</x:v>
      </x:c>
      <x:c r="AL38" s="48" t="n">
        <x:f>MAX(AK38,AL18*'Assumptions'!$D$56*'Assumptions'!$D$62/30*'Assumptions'!$D$15)</x:f>
        <x:v>300000</x:v>
      </x:c>
      <x:c r="AM38" s="48" t="n">
        <x:f>MAX(AL38,AM18*'Assumptions'!$D$56*'Assumptions'!$D$62/30*'Assumptions'!$D$15)</x:f>
        <x:v>300755</x:v>
      </x:c>
      <x:c r="AN38" s="48" t="n">
        <x:f>MAX(AM38,AN18*'Assumptions'!$D$56*'Assumptions'!$D$62/30*'Assumptions'!$D$15)</x:f>
        <x:v>353004.1666666667</x:v>
      </x:c>
      <x:c r="AO38" s="48" t="n">
        <x:f>MAX(AN38,AO18*'Assumptions'!$D$56*'Assumptions'!$D$62/30*'Assumptions'!$D$15)</x:f>
        <x:v>367412.5</x:v>
      </x:c>
      <x:c r="AP38" s="48" t="n">
        <x:f>MAX(AO38,AP18*'Assumptions'!$D$56*'Assumptions'!$D$62/30*'Assumptions'!$D$15)</x:f>
        <x:v>381820.8333333333</x:v>
      </x:c>
      <x:c r="AQ38" s="48" t="n">
        <x:f>MAX(AP38,AQ18*'Assumptions'!$D$56*'Assumptions'!$D$62/30*'Assumptions'!$D$15)</x:f>
        <x:v>396229.1666666667</x:v>
      </x:c>
      <x:c r="AR38" s="48" t="n">
        <x:f>MAX(AQ38,AR18*'Assumptions'!$D$56*'Assumptions'!$D$62/30*'Assumptions'!$D$15)</x:f>
        <x:v>410637.5</x:v>
      </x:c>
      <x:c r="AS38" s="48" t="n">
        <x:f>MAX(AR38,AS18*'Assumptions'!$D$56*'Assumptions'!$D$62/30*'Assumptions'!$D$15)</x:f>
        <x:v>425045.8333333334</x:v>
      </x:c>
      <x:c r="AT38" s="48" t="n">
        <x:f>MAX(AS38,AT18*'Assumptions'!$D$56*'Assumptions'!$D$62/30*'Assumptions'!$D$15)</x:f>
        <x:v>439454.1666666667</x:v>
      </x:c>
      <x:c r="AU38" s="48" t="n">
        <x:f>MAX(AT38,AU18*'Assumptions'!$D$56*'Assumptions'!$D$62/30*'Assumptions'!$D$15)</x:f>
        <x:v>453862.5</x:v>
      </x:c>
      <x:c r="AV38" s="48" t="n">
        <x:f>MAX(AU38,AV18*'Assumptions'!$D$56*'Assumptions'!$D$62/30*'Assumptions'!$D$15)</x:f>
        <x:v>468270.8333333334</x:v>
      </x:c>
      <x:c r="AW38" s="48" t="n">
        <x:f>MAX(AV38,AW18*'Assumptions'!$D$56*'Assumptions'!$D$62/30*'Assumptions'!$D$15)</x:f>
        <x:v>482679.1666666667</x:v>
      </x:c>
      <x:c r="AX38" s="48" t="n">
        <x:f>MAX(AW38,AX18*'Assumptions'!$D$56*'Assumptions'!$D$62/30*'Assumptions'!$D$15)</x:f>
        <x:v>497087.5</x:v>
      </x:c>
      <x:c r="AY38" s="48" t="n">
        <x:f>MAX(AX38,AY18*'Assumptions'!$D$56*'Assumptions'!$D$62/30*'Assumptions'!$D$15)</x:f>
        <x:v>511495.83333333343</x:v>
      </x:c>
      <x:c r="AZ38" s="48" t="n">
        <x:f>MAX(AY38,AZ18*'Assumptions'!$D$56*'Assumptions'!$D$62/30*'Assumptions'!$D$15)</x:f>
        <x:v>591644.4444444446</x:v>
      </x:c>
      <x:c r="BA38" s="48" t="n">
        <x:f>MAX(AZ38,BA18*'Assumptions'!$D$56*'Assumptions'!$D$62/30*'Assumptions'!$D$15)</x:f>
        <x:v>610133.3333333334</x:v>
      </x:c>
      <x:c r="BB38" s="48" t="n">
        <x:f>MAX(BA38,BB18*'Assumptions'!$D$56*'Assumptions'!$D$62/30*'Assumptions'!$D$15)</x:f>
        <x:v>628622.2222222222</x:v>
      </x:c>
      <x:c r="BC38" s="48" t="n">
        <x:f>MAX(BB38,BC18*'Assumptions'!$D$56*'Assumptions'!$D$62/30*'Assumptions'!$D$15)</x:f>
        <x:v>647111.1111111112</x:v>
      </x:c>
      <x:c r="BD38" s="48" t="n">
        <x:f>MAX(BC38,BD18*'Assumptions'!$D$56*'Assumptions'!$D$62/30*'Assumptions'!$D$15)</x:f>
        <x:v>665600</x:v>
      </x:c>
      <x:c r="BE38" s="48" t="n">
        <x:f>MAX(BD38,BE18*'Assumptions'!$D$56*'Assumptions'!$D$62/30*'Assumptions'!$D$15)</x:f>
        <x:v>684088.888888889</x:v>
      </x:c>
      <x:c r="BF38" s="48" t="n">
        <x:f>MAX(BE38,BF18*'Assumptions'!$D$56*'Assumptions'!$D$62/30*'Assumptions'!$D$15)</x:f>
        <x:v>702577.777777778</x:v>
      </x:c>
      <x:c r="BG38" s="48" t="n">
        <x:f>MAX(BF38,BG18*'Assumptions'!$D$56*'Assumptions'!$D$62/30*'Assumptions'!$D$15)</x:f>
        <x:v>721066.6666666666</x:v>
      </x:c>
      <x:c r="BH38" s="48" t="n">
        <x:f>MAX(BG38,BH18*'Assumptions'!$D$56*'Assumptions'!$D$62/30*'Assumptions'!$D$15)</x:f>
        <x:v>739555.5555555556</x:v>
      </x:c>
      <x:c r="BI38" s="48" t="n">
        <x:f>MAX(BH38,BI18*'Assumptions'!$D$56*'Assumptions'!$D$62/30*'Assumptions'!$D$15)</x:f>
        <x:v>758044.4444444448</x:v>
      </x:c>
      <x:c r="BJ38" s="48" t="n">
        <x:f>MAX(BI38,BJ18*'Assumptions'!$D$56*'Assumptions'!$D$62/30*'Assumptions'!$D$15)</x:f>
        <x:v>776533.3333333334</x:v>
      </x:c>
      <x:c r="BK38" s="48" t="n">
        <x:f>MAX(BJ38,BK18*'Assumptions'!$D$56*'Assumptions'!$D$62/30*'Assumptions'!$D$15)</x:f>
        <x:v>795022.2222222224</x:v>
      </x:c>
      <x:c r="BL38" s="1"/>
    </x:row>
    <x:row r="39" ht="21" customHeight="1">
      <x:c r="A39" s="1"/>
      <x:c r="B39" s="1"/>
      <x:c r="C39" s="1" t="str">
        <x:v>Additional prefunding this month</x:v>
      </x:c>
      <x:c r="D39" s="48" t="n">
        <x:f>D38-'Assumptions'!$D$9</x:f>
        <x:v>0</x:v>
      </x:c>
      <x:c r="E39" s="49" t="n">
        <x:f>E38-D38</x:f>
        <x:v>0</x:v>
      </x:c>
      <x:c r="F39" s="49" t="n">
        <x:f>F38-E38</x:f>
        <x:v>0</x:v>
      </x:c>
      <x:c r="G39" s="49" t="n">
        <x:f>G38-F38</x:f>
        <x:v>0</x:v>
      </x:c>
      <x:c r="H39" s="49" t="n">
        <x:f>H38-G38</x:f>
        <x:v>0</x:v>
      </x:c>
      <x:c r="I39" s="49" t="n">
        <x:f>I38-H38</x:f>
        <x:v>0</x:v>
      </x:c>
      <x:c r="J39" s="49" t="n">
        <x:f>J38-I38</x:f>
        <x:v>0</x:v>
      </x:c>
      <x:c r="K39" s="49" t="n">
        <x:f>K38-J38</x:f>
        <x:v>0</x:v>
      </x:c>
      <x:c r="L39" s="49" t="n">
        <x:f>L38-K38</x:f>
        <x:v>0</x:v>
      </x:c>
      <x:c r="M39" s="49" t="n">
        <x:f>M38-L38</x:f>
        <x:v>0</x:v>
      </x:c>
      <x:c r="N39" s="49" t="n">
        <x:f>N38-M38</x:f>
        <x:v>0</x:v>
      </x:c>
      <x:c r="O39" s="49" t="n">
        <x:f>O38-N38</x:f>
        <x:v>0</x:v>
      </x:c>
      <x:c r="P39" s="49" t="n">
        <x:f>P38-O38</x:f>
        <x:v>0</x:v>
      </x:c>
      <x:c r="Q39" s="49" t="n">
        <x:f>Q38-P38</x:f>
        <x:v>0</x:v>
      </x:c>
      <x:c r="R39" s="49" t="n">
        <x:f>R38-Q38</x:f>
        <x:v>0</x:v>
      </x:c>
      <x:c r="S39" s="49" t="n">
        <x:f>S38-R38</x:f>
        <x:v>0</x:v>
      </x:c>
      <x:c r="T39" s="49" t="n">
        <x:f>T38-S38</x:f>
        <x:v>0</x:v>
      </x:c>
      <x:c r="U39" s="49" t="n">
        <x:f>U38-T38</x:f>
        <x:v>0</x:v>
      </x:c>
      <x:c r="V39" s="49" t="n">
        <x:f>V38-U38</x:f>
        <x:v>0</x:v>
      </x:c>
      <x:c r="W39" s="49" t="n">
        <x:f>W38-V38</x:f>
        <x:v>0</x:v>
      </x:c>
      <x:c r="X39" s="49" t="n">
        <x:f>X38-W38</x:f>
        <x:v>0</x:v>
      </x:c>
      <x:c r="Y39" s="49" t="n">
        <x:f>Y38-X38</x:f>
        <x:v>0</x:v>
      </x:c>
      <x:c r="Z39" s="49" t="n">
        <x:f>Z38-Y38</x:f>
        <x:v>0</x:v>
      </x:c>
      <x:c r="AA39" s="49" t="n">
        <x:f>AA38-Z38</x:f>
        <x:v>0</x:v>
      </x:c>
      <x:c r="AB39" s="49" t="n">
        <x:f>AB38-AA38</x:f>
        <x:v>0</x:v>
      </x:c>
      <x:c r="AC39" s="49" t="n">
        <x:f>AC38-AB38</x:f>
        <x:v>0</x:v>
      </x:c>
      <x:c r="AD39" s="49" t="n">
        <x:f>AD38-AC38</x:f>
        <x:v>0</x:v>
      </x:c>
      <x:c r="AE39" s="49" t="n">
        <x:f>AE38-AD38</x:f>
        <x:v>0</x:v>
      </x:c>
      <x:c r="AF39" s="49" t="n">
        <x:f>AF38-AE38</x:f>
        <x:v>0</x:v>
      </x:c>
      <x:c r="AG39" s="49" t="n">
        <x:f>AG38-AF38</x:f>
        <x:v>0</x:v>
      </x:c>
      <x:c r="AH39" s="49" t="n">
        <x:f>AH38-AG38</x:f>
        <x:v>0</x:v>
      </x:c>
      <x:c r="AI39" s="49" t="n">
        <x:f>AI38-AH38</x:f>
        <x:v>0</x:v>
      </x:c>
      <x:c r="AJ39" s="49" t="n">
        <x:f>AJ38-AI38</x:f>
        <x:v>0</x:v>
      </x:c>
      <x:c r="AK39" s="49" t="n">
        <x:f>AK38-AJ38</x:f>
        <x:v>0</x:v>
      </x:c>
      <x:c r="AL39" s="49" t="n">
        <x:f>AL38-AK38</x:f>
        <x:v>0</x:v>
      </x:c>
      <x:c r="AM39" s="49" t="n">
        <x:f>AM38-AL38</x:f>
        <x:v>755</x:v>
      </x:c>
      <x:c r="AN39" s="49" t="n">
        <x:f>AN38-AM38</x:f>
        <x:v>52249.166666666686</x:v>
      </x:c>
      <x:c r="AO39" s="49" t="n">
        <x:f>AO38-AN38</x:f>
        <x:v>14408.333333333314</x:v>
      </x:c>
      <x:c r="AP39" s="49" t="n">
        <x:f>AP38-AO38</x:f>
        <x:v>14408.333333333314</x:v>
      </x:c>
      <x:c r="AQ39" s="49" t="n">
        <x:f>AQ38-AP38</x:f>
        <x:v>14408.333333333372</x:v>
      </x:c>
      <x:c r="AR39" s="49" t="n">
        <x:f>AR38-AQ38</x:f>
        <x:v>14408.333333333314</x:v>
      </x:c>
      <x:c r="AS39" s="49" t="n">
        <x:f>AS38-AR38</x:f>
        <x:v>14408.333333333372</x:v>
      </x:c>
      <x:c r="AT39" s="49" t="n">
        <x:f>AT38-AS38</x:f>
        <x:v>14408.333333333314</x:v>
      </x:c>
      <x:c r="AU39" s="49" t="n">
        <x:f>AU38-AT38</x:f>
        <x:v>14408.333333333314</x:v>
      </x:c>
      <x:c r="AV39" s="49" t="n">
        <x:f>AV38-AU38</x:f>
        <x:v>14408.333333333372</x:v>
      </x:c>
      <x:c r="AW39" s="49" t="n">
        <x:f>AW38-AV38</x:f>
        <x:v>14408.333333333314</x:v>
      </x:c>
      <x:c r="AX39" s="49" t="n">
        <x:f>AX38-AW38</x:f>
        <x:v>14408.333333333314</x:v>
      </x:c>
      <x:c r="AY39" s="49" t="n">
        <x:f>AY38-AX38</x:f>
        <x:v>14408.33333333343</x:v>
      </x:c>
      <x:c r="AZ39" s="49" t="n">
        <x:f>AZ38-AY38</x:f>
        <x:v>80148.61111111118</x:v>
      </x:c>
      <x:c r="BA39" s="49" t="n">
        <x:f>BA38-AZ38</x:f>
        <x:v>18488.88888888876</x:v>
      </x:c>
      <x:c r="BB39" s="49" t="n">
        <x:f>BB38-BA38</x:f>
        <x:v>18488.888888888876</x:v>
      </x:c>
      <x:c r="BC39" s="49" t="n">
        <x:f>BC38-BB38</x:f>
        <x:v>18488.888888888992</x:v>
      </x:c>
      <x:c r="BD39" s="49" t="n">
        <x:f>BD38-BC38</x:f>
        <x:v>18488.88888888876</x:v>
      </x:c>
      <x:c r="BE39" s="49" t="n">
        <x:f>BE38-BD38</x:f>
        <x:v>18488.888888888992</x:v>
      </x:c>
      <x:c r="BF39" s="49" t="n">
        <x:f>BF38-BE38</x:f>
        <x:v>18488.888888888992</x:v>
      </x:c>
      <x:c r="BG39" s="49" t="n">
        <x:f>BG38-BF38</x:f>
        <x:v>18488.888888888643</x:v>
      </x:c>
      <x:c r="BH39" s="49" t="n">
        <x:f>BH38-BG38</x:f>
        <x:v>18488.888888888992</x:v>
      </x:c>
      <x:c r="BI39" s="49" t="n">
        <x:f>BI38-BH38</x:f>
        <x:v>18488.888888889225</x:v>
      </x:c>
      <x:c r="BJ39" s="49" t="n">
        <x:f>BJ38-BI38</x:f>
        <x:v>18488.888888888527</x:v>
      </x:c>
      <x:c r="BK39" s="49" t="n">
        <x:f>BK38-BJ38</x:f>
        <x:v>18488.888888888992</x:v>
      </x:c>
      <x:c r="BL39" s="1"/>
    </x:row>
    <x:row r="40" ht="21" customHeight="1">
      <x:c r="A40" s="1"/>
      <x:c r="B40" s="1"/>
      <x:c r="C40" s="54" t="str">
        <x:v>Free cash after tax, setup and prefunding</x:v>
      </x:c>
      <x:c r="D40" s="55" t="n">
        <x:f>D32-SUM(D34:D36)-D39</x:f>
        <x:v>-80000</x:v>
      </x:c>
      <x:c r="E40" s="55" t="n">
        <x:f>E32-SUM(E34:E36)-E39</x:f>
        <x:v>-80000</x:v>
      </x:c>
      <x:c r="F40" s="55" t="n">
        <x:f>F32-SUM(F34:F36)-F39</x:f>
        <x:v>-80000</x:v>
      </x:c>
      <x:c r="G40" s="55" t="n">
        <x:f>G32-SUM(G34:G36)-G39</x:f>
        <x:v>-80000</x:v>
      </x:c>
      <x:c r="H40" s="55" t="n">
        <x:f>H32-SUM(H34:H36)-H39</x:f>
        <x:v>-80000</x:v>
      </x:c>
      <x:c r="I40" s="55" t="n">
        <x:f>I32-SUM(I34:I36)-I39</x:f>
        <x:v>-93007.14285714286</x:v>
      </x:c>
      <x:c r="J40" s="55" t="n">
        <x:f>J32-SUM(J34:J36)-J39</x:f>
        <x:v>-41781.42857142857</x:v>
      </x:c>
      <x:c r="K40" s="55" t="n">
        <x:f>K32-SUM(K34:K36)-K39</x:f>
        <x:v>-40555.71428571428</x:v>
      </x:c>
      <x:c r="L40" s="55" t="n">
        <x:f>L32-SUM(L34:L36)-L39</x:f>
        <x:v>-39330.00000000001</x:v>
      </x:c>
      <x:c r="M40" s="55" t="n">
        <x:f>M32-SUM(M34:M36)-M39</x:f>
        <x:v>-38104.285714285725</x:v>
      </x:c>
      <x:c r="N40" s="55" t="n">
        <x:f>N32-SUM(N34:N36)-N39</x:f>
        <x:v>-36878.57142857141</x:v>
      </x:c>
      <x:c r="O40" s="55" t="n">
        <x:f>O32-SUM(O34:O36)-O39</x:f>
        <x:v>-35652.85714285717</x:v>
      </x:c>
      <x:c r="P40" s="55" t="n">
        <x:f>P32-SUM(P34:P36)-P39</x:f>
        <x:v>-43744.43576388889</x:v>
      </x:c>
      <x:c r="Q40" s="55" t="n">
        <x:f>Q32-SUM(Q34:Q36)-Q39</x:f>
        <x:v>-42186.918402777774</x:v>
      </x:c>
      <x:c r="R40" s="55" t="n">
        <x:f>R32-SUM(R34:R36)-R39</x:f>
        <x:v>-40629.401041666686</x:v>
      </x:c>
      <x:c r="S40" s="55" t="n">
        <x:f>S32-SUM(S34:S36)-S39</x:f>
        <x:v>-39071.88368055555</x:v>
      </x:c>
      <x:c r="T40" s="55" t="n">
        <x:f>T32-SUM(T34:T36)-T39</x:f>
        <x:v>-37514.36631944445</x:v>
      </x:c>
      <x:c r="U40" s="55" t="n">
        <x:f>U32-SUM(U34:U36)-U39</x:f>
        <x:v>-35956.84895833336</x:v>
      </x:c>
      <x:c r="V40" s="55" t="n">
        <x:f>V32-SUM(V34:V36)-V39</x:f>
        <x:v>-34399.33159722224</x:v>
      </x:c>
      <x:c r="W40" s="55" t="n">
        <x:f>W32-SUM(W34:W36)-W39</x:f>
        <x:v>-32841.814236111095</x:v>
      </x:c>
      <x:c r="X40" s="55" t="n">
        <x:f>X32-SUM(X34:X36)-X39</x:f>
        <x:v>-31284.296875000022</x:v>
      </x:c>
      <x:c r="Y40" s="55" t="n">
        <x:f>Y32-SUM(Y34:Y36)-Y39</x:f>
        <x:v>-29726.779513888883</x:v>
      </x:c>
      <x:c r="Z40" s="55" t="n">
        <x:f>Z32-SUM(Z34:Z36)-Z39</x:f>
        <x:v>-28169.262152777817</x:v>
      </x:c>
      <x:c r="AA40" s="55" t="n">
        <x:f>AA32-SUM(AA34:AA36)-AA39</x:f>
        <x:v>-26611.744791666664</x:v>
      </x:c>
      <x:c r="AB40" s="55" t="n">
        <x:f>AB32-SUM(AB34:AB36)-AB39</x:f>
        <x:v>-30966.076388888905</x:v>
      </x:c>
      <x:c r="AC40" s="55" t="n">
        <x:f>AC32-SUM(AC34:AC36)-AC39</x:f>
        <x:v>-29116.00694444443</x:v>
      </x:c>
      <x:c r="AD40" s="55" t="n">
        <x:f>AD32-SUM(AD34:AD36)-AD39</x:f>
        <x:v>-27265.937500000065</x:v>
      </x:c>
      <x:c r="AE40" s="55" t="n">
        <x:f>AE32-SUM(AE34:AE36)-AE39</x:f>
        <x:v>-25415.868055555577</x:v>
      </x:c>
      <x:c r="AF40" s="55" t="n">
        <x:f>AF32-SUM(AF34:AF36)-AF39</x:f>
        <x:v>-23565.79861111111</x:v>
      </x:c>
      <x:c r="AG40" s="55" t="n">
        <x:f>AG32-SUM(AG34:AG36)-AG39</x:f>
        <x:v>-21715.72916666673</x:v>
      </x:c>
      <x:c r="AH40" s="55" t="n">
        <x:f>AH32-SUM(AH34:AH36)-AH39</x:f>
        <x:v>-19865.659722222234</x:v>
      </x:c>
      <x:c r="AI40" s="55" t="n">
        <x:f>AI32-SUM(AI34:AI36)-AI39</x:f>
        <x:v>-18015.590277777766</x:v>
      </x:c>
      <x:c r="AJ40" s="55" t="n">
        <x:f>AJ32-SUM(AJ34:AJ36)-AJ39</x:f>
        <x:v>-16165.520833333387</x:v>
      </x:c>
      <x:c r="AK40" s="55" t="n">
        <x:f>AK32-SUM(AK34:AK36)-AK39</x:f>
        <x:v>-14315.451388888847</x:v>
      </x:c>
      <x:c r="AL40" s="55" t="n">
        <x:f>AL32-SUM(AL34:AL36)-AL39</x:f>
        <x:v>-12465.381944444525</x:v>
      </x:c>
      <x:c r="AM40" s="55" t="n">
        <x:f>AM32-SUM(AM34:AM36)-AM39</x:f>
        <x:v>-11370.312500000015</x:v>
      </x:c>
      <x:c r="AN40" s="55" t="n">
        <x:f>AN32-SUM(AN34:AN36)-AN39</x:f>
        <x:v>-67205.60763888892</x:v>
      </x:c>
      <x:c r="AO40" s="55" t="n">
        <x:f>AO32-SUM(AO34:AO36)-AO39</x:f>
        <x:v>-26733.76736111108</x:v>
      </x:c>
      <x:c r="AP40" s="55" t="n">
        <x:f>AP32-SUM(AP34:AP36)-AP39</x:f>
        <x:v>-24102.7604166667</x:v>
      </x:c>
      <x:c r="AQ40" s="55" t="n">
        <x:f>AQ32-SUM(AQ34:AQ36)-AQ39</x:f>
        <x:v>-21471.753472222277</x:v>
      </x:c>
      <x:c r="AR40" s="55" t="n">
        <x:f>AR32-SUM(AR34:AR36)-AR39</x:f>
        <x:v>-18840.746527777796</x:v>
      </x:c>
      <x:c r="AS40" s="55" t="n">
        <x:f>AS32-SUM(AS34:AS36)-AS39</x:f>
        <x:v>-16249.458333333338</x:v>
      </x:c>
      <x:c r="AT40" s="55" t="n">
        <x:f>AT32-SUM(AT34:AT36)-AT39</x:f>
        <x:v>-14144.652777777752</x:v>
      </x:c>
      <x:c r="AU40" s="55" t="n">
        <x:f>AU32-SUM(AU34:AU36)-AU39</x:f>
        <x:v>-12039.847222222224</x:v>
      </x:c>
      <x:c r="AV40" s="55" t="n">
        <x:f>AV32-SUM(AV34:AV36)-AV39</x:f>
        <x:v>-9935.041666666675</x:v>
      </x:c>
      <x:c r="AW40" s="55" t="n">
        <x:f>AW32-SUM(AW34:AW36)-AW39</x:f>
        <x:v>-7830.236111111078</x:v>
      </x:c>
      <x:c r="AX40" s="55" t="n">
        <x:f>AX32-SUM(AX34:AX36)-AX39</x:f>
        <x:v>-5725.430555555644</x:v>
      </x:c>
      <x:c r="AY40" s="55" t="n">
        <x:f>AY32-SUM(AY34:AY36)-AY39</x:f>
        <x:v>-3620.625000000082</x:v>
      </x:c>
      <x:c r="AZ40" s="55" t="n">
        <x:f>AZ32-SUM(AZ34:AZ36)-AZ39</x:f>
        <x:v>-68200.16666666679</x:v>
      </x:c>
      <x:c r="BA40" s="55" t="n">
        <x:f>BA32-SUM(BA34:BA36)-BA39</x:f>
        <x:v>-3802.6666666665005</x:v>
      </x:c>
      <x:c r="BB40" s="55" t="n">
        <x:f>BB32-SUM(BB34:BB36)-BB39</x:f>
        <x:v>-1064.8888888889232</x:v>
      </x:c>
      <x:c r="BC40" s="55" t="n">
        <x:f>BC32-SUM(BC34:BC36)-BC39</x:f>
        <x:v>1672.8888888887232</x:v>
      </x:c>
      <x:c r="BD40" s="55" t="n">
        <x:f>BD32-SUM(BD34:BD36)-BD39</x:f>
        <x:v>4410.666666666824</x:v>
      </x:c>
      <x:c r="BE40" s="55" t="n">
        <x:f>BE32-SUM(BE34:BE36)-BE39</x:f>
        <x:v>7148.4444444442415</x:v>
      </x:c>
      <x:c r="BF40" s="55" t="n">
        <x:f>BF32-SUM(BF34:BF36)-BF39</x:f>
        <x:v>9886.222222222095</x:v>
      </x:c>
      <x:c r="BG40" s="55" t="n">
        <x:f>BG32-SUM(BG34:BG36)-BG39</x:f>
        <x:v>12624.00000000027</x:v>
      </x:c>
      <x:c r="BH40" s="55" t="n">
        <x:f>BH32-SUM(BH34:BH36)-BH39</x:f>
        <x:v>15361.777777777563</x:v>
      </x:c>
      <x:c r="BI40" s="55" t="n">
        <x:f>BI32-SUM(BI34:BI36)-BI39</x:f>
        <x:v>18099.55555555519</x:v>
      </x:c>
      <x:c r="BJ40" s="55" t="n">
        <x:f>BJ32-SUM(BJ34:BJ36)-BJ39</x:f>
        <x:v>20837.333333333736</x:v>
      </x:c>
      <x:c r="BK40" s="55" t="n">
        <x:f>BK32-SUM(BK34:BK36)-BK39</x:f>
        <x:v>23575.111111110913</x:v>
      </x:c>
      <x:c r="BL40" s="1"/>
    </x:row>
    <x:row r="41" ht="21" customHeight="1">
      <x:c r="A41" s="1"/>
      <x:c r="B41" s="1"/>
      <x:c r="C41" s="1" t="str">
        <x:v>Cumulative free cash since funding</x:v>
      </x:c>
      <x:c r="D41" s="49" t="n">
        <x:f>0+D40</x:f>
        <x:v>-80000</x:v>
      </x:c>
      <x:c r="E41" s="49" t="n">
        <x:f>D41+E40</x:f>
        <x:v>-160000</x:v>
      </x:c>
      <x:c r="F41" s="49" t="n">
        <x:f>E41+F40</x:f>
        <x:v>-240000</x:v>
      </x:c>
      <x:c r="G41" s="49" t="n">
        <x:f>F41+G40</x:f>
        <x:v>-320000</x:v>
      </x:c>
      <x:c r="H41" s="49" t="n">
        <x:f>G41+H40</x:f>
        <x:v>-400000</x:v>
      </x:c>
      <x:c r="I41" s="49" t="n">
        <x:f>H41+I40</x:f>
        <x:v>-493007.14285714284</x:v>
      </x:c>
      <x:c r="J41" s="49" t="n">
        <x:f>I41+J40</x:f>
        <x:v>-534788.5714285714</x:v>
      </x:c>
      <x:c r="K41" s="49" t="n">
        <x:f>J41+K40</x:f>
        <x:v>-575344.2857142857</x:v>
      </x:c>
      <x:c r="L41" s="49" t="n">
        <x:f>K41+L40</x:f>
        <x:v>-614674.2857142857</x:v>
      </x:c>
      <x:c r="M41" s="49" t="n">
        <x:f>L41+M40</x:f>
        <x:v>-652778.5714285714</x:v>
      </x:c>
      <x:c r="N41" s="49" t="n">
        <x:f>M41+N40</x:f>
        <x:v>-689657.1428571427</x:v>
      </x:c>
      <x:c r="O41" s="49" t="n">
        <x:f>N41+O40</x:f>
        <x:v>-725309.9999999999</x:v>
      </x:c>
      <x:c r="P41" s="49" t="n">
        <x:f>O41+P40</x:f>
        <x:v>-769054.4357638888</x:v>
      </x:c>
      <x:c r="Q41" s="49" t="n">
        <x:f>P41+Q40</x:f>
        <x:v>-811241.3541666665</x:v>
      </x:c>
      <x:c r="R41" s="49" t="n">
        <x:f>Q41+R40</x:f>
        <x:v>-851870.7552083333</x:v>
      </x:c>
      <x:c r="S41" s="49" t="n">
        <x:f>R41+S40</x:f>
        <x:v>-890942.6388888888</x:v>
      </x:c>
      <x:c r="T41" s="49" t="n">
        <x:f>S41+T40</x:f>
        <x:v>-928457.0052083333</x:v>
      </x:c>
      <x:c r="U41" s="49" t="n">
        <x:f>T41+U40</x:f>
        <x:v>-964413.8541666666</x:v>
      </x:c>
      <x:c r="V41" s="49" t="n">
        <x:f>U41+V40</x:f>
        <x:v>-998813.1857638889</x:v>
      </x:c>
      <x:c r="W41" s="49" t="n">
        <x:f>V41+W40</x:f>
        <x:v>-1031655</x:v>
      </x:c>
      <x:c r="X41" s="49" t="n">
        <x:f>W41+X40</x:f>
        <x:v>-1062939.296875</x:v>
      </x:c>
      <x:c r="Y41" s="49" t="n">
        <x:f>X41+Y40</x:f>
        <x:v>-1092666.076388889</x:v>
      </x:c>
      <x:c r="Z41" s="49" t="n">
        <x:f>Y41+Z40</x:f>
        <x:v>-1120835.3385416667</x:v>
      </x:c>
      <x:c r="AA41" s="49" t="n">
        <x:f>Z41+AA40</x:f>
        <x:v>-1147447.0833333335</x:v>
      </x:c>
      <x:c r="AB41" s="49" t="n">
        <x:f>AA41+AB40</x:f>
        <x:v>-1178413.1597222225</x:v>
      </x:c>
      <x:c r="AC41" s="49" t="n">
        <x:f>AB41+AC40</x:f>
        <x:v>-1207529.166666667</x:v>
      </x:c>
      <x:c r="AD41" s="49" t="n">
        <x:f>AC41+AD40</x:f>
        <x:v>-1234795.104166667</x:v>
      </x:c>
      <x:c r="AE41" s="49" t="n">
        <x:f>AD41+AE40</x:f>
        <x:v>-1260210.9722222225</x:v>
      </x:c>
      <x:c r="AF41" s="49" t="n">
        <x:f>AE41+AF40</x:f>
        <x:v>-1283776.7708333335</x:v>
      </x:c>
      <x:c r="AG41" s="49" t="n">
        <x:f>AF41+AG40</x:f>
        <x:v>-1305492.5000000002</x:v>
      </x:c>
      <x:c r="AH41" s="49" t="n">
        <x:f>AG41+AH40</x:f>
        <x:v>-1325358.1597222225</x:v>
      </x:c>
      <x:c r="AI41" s="49" t="n">
        <x:f>AH41+AI40</x:f>
        <x:v>-1343373.7500000002</x:v>
      </x:c>
      <x:c r="AJ41" s="49" t="n">
        <x:f>AI41+AJ40</x:f>
        <x:v>-1359539.2708333337</x:v>
      </x:c>
      <x:c r="AK41" s="49" t="n">
        <x:f>AJ41+AK40</x:f>
        <x:v>-1373854.7222222225</x:v>
      </x:c>
      <x:c r="AL41" s="49" t="n">
        <x:f>AK41+AL40</x:f>
        <x:v>-1386320.104166667</x:v>
      </x:c>
      <x:c r="AM41" s="49" t="n">
        <x:f>AL41+AM40</x:f>
        <x:v>-1397690.416666667</x:v>
      </x:c>
      <x:c r="AN41" s="49" t="n">
        <x:f>AM41+AN40</x:f>
        <x:v>-1464896.024305556</x:v>
      </x:c>
      <x:c r="AO41" s="49" t="n">
        <x:f>AN41+AO40</x:f>
        <x:v>-1491629.791666667</x:v>
      </x:c>
      <x:c r="AP41" s="49" t="n">
        <x:f>AO41+AP40</x:f>
        <x:v>-1515732.5520833337</x:v>
      </x:c>
      <x:c r="AQ41" s="49" t="n">
        <x:f>AP41+AQ40</x:f>
        <x:v>-1537204.305555556</x:v>
      </x:c>
      <x:c r="AR41" s="49" t="n">
        <x:f>AQ41+AR40</x:f>
        <x:v>-1556045.0520833337</x:v>
      </x:c>
      <x:c r="AS41" s="49" t="n">
        <x:f>AR41+AS40</x:f>
        <x:v>-1572294.510416667</x:v>
      </x:c>
      <x:c r="AT41" s="49" t="n">
        <x:f>AS41+AT40</x:f>
        <x:v>-1586439.1631944447</x:v>
      </x:c>
      <x:c r="AU41" s="49" t="n">
        <x:f>AT41+AU40</x:f>
        <x:v>-1598479.010416667</x:v>
      </x:c>
      <x:c r="AV41" s="49" t="n">
        <x:f>AU41+AV40</x:f>
        <x:v>-1608414.0520833337</x:v>
      </x:c>
      <x:c r="AW41" s="49" t="n">
        <x:f>AV41+AW40</x:f>
        <x:v>-1616244.2881944447</x:v>
      </x:c>
      <x:c r="AX41" s="49" t="n">
        <x:f>AW41+AX40</x:f>
        <x:v>-1621969.7187500005</x:v>
      </x:c>
      <x:c r="AY41" s="49" t="n">
        <x:f>AX41+AY40</x:f>
        <x:v>-1625590.3437500005</x:v>
      </x:c>
      <x:c r="AZ41" s="49" t="n">
        <x:f>AY41+AZ40</x:f>
        <x:v>-1693790.5104166672</x:v>
      </x:c>
      <x:c r="BA41" s="49" t="n">
        <x:f>AZ41+BA40</x:f>
        <x:v>-1697593.1770833337</x:v>
      </x:c>
      <x:c r="BB41" s="49" t="n">
        <x:f>BA41+BB40</x:f>
        <x:v>-1698658.0659722227</x:v>
      </x:c>
      <x:c r="BC41" s="49" t="n">
        <x:f>BB41+BC40</x:f>
        <x:v>-1696985.177083334</x:v>
      </x:c>
      <x:c r="BD41" s="49" t="n">
        <x:f>BC41+BD40</x:f>
        <x:v>-1692574.5104166672</x:v>
      </x:c>
      <x:c r="BE41" s="49" t="n">
        <x:f>BD41+BE40</x:f>
        <x:v>-1685426.065972223</x:v>
      </x:c>
      <x:c r="BF41" s="49" t="n">
        <x:f>BE41+BF40</x:f>
        <x:v>-1675539.843750001</x:v>
      </x:c>
      <x:c r="BG41" s="49" t="n">
        <x:f>BF41+BG40</x:f>
        <x:v>-1662915.8437500007</x:v>
      </x:c>
      <x:c r="BH41" s="49" t="n">
        <x:f>BG41+BH40</x:f>
        <x:v>-1647554.0659722232</x:v>
      </x:c>
      <x:c r="BI41" s="49" t="n">
        <x:f>BH41+BI40</x:f>
        <x:v>-1629454.510416668</x:v>
      </x:c>
      <x:c r="BJ41" s="49" t="n">
        <x:f>BI41+BJ40</x:f>
        <x:v>-1608617.1770833342</x:v>
      </x:c>
      <x:c r="BK41" s="49" t="n">
        <x:f>BJ41+BK40</x:f>
        <x:v>-1585042.0659722232</x:v>
      </x:c>
      <x:c r="BL41" s="1"/>
    </x:row>
    <x:row r="42" ht="21" customHeight="1">
      <x:c r="A42" s="1"/>
      <x:c r="B42" s="1"/>
      <x:c r="C42" s="1" t="str">
        <x:v>Cumulative earnings after tax, setup, capex</x:v>
      </x:c>
      <x:c r="D42" s="49" t="n">
        <x:f>0+D32-SUM(D34:D36)</x:f>
        <x:v>-80000</x:v>
      </x:c>
      <x:c r="E42" s="49" t="n">
        <x:f>D42+E32-SUM(E34:E36)</x:f>
        <x:v>-160000</x:v>
      </x:c>
      <x:c r="F42" s="49" t="n">
        <x:f>E42+F32-SUM(F34:F36)</x:f>
        <x:v>-240000</x:v>
      </x:c>
      <x:c r="G42" s="49" t="n">
        <x:f>F42+G32-SUM(G34:G36)</x:f>
        <x:v>-320000</x:v>
      </x:c>
      <x:c r="H42" s="49" t="n">
        <x:f>G42+H32-SUM(H34:H36)</x:f>
        <x:v>-400000</x:v>
      </x:c>
      <x:c r="I42" s="49" t="n">
        <x:f>H42+I32-SUM(I34:I36)</x:f>
        <x:v>-493007.14285714284</x:v>
      </x:c>
      <x:c r="J42" s="49" t="n">
        <x:f>I42+J32-SUM(J34:J36)</x:f>
        <x:v>-534788.5714285714</x:v>
      </x:c>
      <x:c r="K42" s="49" t="n">
        <x:f>J42+K32-SUM(K34:K36)</x:f>
        <x:v>-575344.2857142857</x:v>
      </x:c>
      <x:c r="L42" s="49" t="n">
        <x:f>K42+L32-SUM(L34:L36)</x:f>
        <x:v>-614674.2857142857</x:v>
      </x:c>
      <x:c r="M42" s="49" t="n">
        <x:f>L42+M32-SUM(M34:M36)</x:f>
        <x:v>-652778.5714285714</x:v>
      </x:c>
      <x:c r="N42" s="49" t="n">
        <x:f>M42+N32-SUM(N34:N36)</x:f>
        <x:v>-689657.1428571427</x:v>
      </x:c>
      <x:c r="O42" s="49" t="n">
        <x:f>N42+O32-SUM(O34:O36)</x:f>
        <x:v>-725309.9999999999</x:v>
      </x:c>
      <x:c r="P42" s="49" t="n">
        <x:f>O42+P32-SUM(P34:P36)</x:f>
        <x:v>-769054.4357638888</x:v>
      </x:c>
      <x:c r="Q42" s="49" t="n">
        <x:f>P42+Q32-SUM(Q34:Q36)</x:f>
        <x:v>-811241.3541666665</x:v>
      </x:c>
      <x:c r="R42" s="49" t="n">
        <x:f>Q42+R32-SUM(R34:R36)</x:f>
        <x:v>-851870.7552083333</x:v>
      </x:c>
      <x:c r="S42" s="49" t="n">
        <x:f>R42+S32-SUM(S34:S36)</x:f>
        <x:v>-890942.6388888888</x:v>
      </x:c>
      <x:c r="T42" s="49" t="n">
        <x:f>S42+T32-SUM(T34:T36)</x:f>
        <x:v>-928457.0052083333</x:v>
      </x:c>
      <x:c r="U42" s="49" t="n">
        <x:f>T42+U32-SUM(U34:U36)</x:f>
        <x:v>-964413.8541666666</x:v>
      </x:c>
      <x:c r="V42" s="49" t="n">
        <x:f>U42+V32-SUM(V34:V36)</x:f>
        <x:v>-998813.1857638889</x:v>
      </x:c>
      <x:c r="W42" s="49" t="n">
        <x:f>V42+W32-SUM(W34:W36)</x:f>
        <x:v>-1031655</x:v>
      </x:c>
      <x:c r="X42" s="49" t="n">
        <x:f>W42+X32-SUM(X34:X36)</x:f>
        <x:v>-1062939.296875</x:v>
      </x:c>
      <x:c r="Y42" s="49" t="n">
        <x:f>X42+Y32-SUM(Y34:Y36)</x:f>
        <x:v>-1092666.076388889</x:v>
      </x:c>
      <x:c r="Z42" s="49" t="n">
        <x:f>Y42+Z32-SUM(Z34:Z36)</x:f>
        <x:v>-1120835.3385416667</x:v>
      </x:c>
      <x:c r="AA42" s="49" t="n">
        <x:f>Z42+AA32-SUM(AA34:AA36)</x:f>
        <x:v>-1147447.0833333335</x:v>
      </x:c>
      <x:c r="AB42" s="49" t="n">
        <x:f>AA42+AB32-SUM(AB34:AB36)</x:f>
        <x:v>-1178413.1597222225</x:v>
      </x:c>
      <x:c r="AC42" s="49" t="n">
        <x:f>AB42+AC32-SUM(AC34:AC36)</x:f>
        <x:v>-1207529.166666667</x:v>
      </x:c>
      <x:c r="AD42" s="49" t="n">
        <x:f>AC42+AD32-SUM(AD34:AD36)</x:f>
        <x:v>-1234795.104166667</x:v>
      </x:c>
      <x:c r="AE42" s="49" t="n">
        <x:f>AD42+AE32-SUM(AE34:AE36)</x:f>
        <x:v>-1260210.9722222225</x:v>
      </x:c>
      <x:c r="AF42" s="49" t="n">
        <x:f>AE42+AF32-SUM(AF34:AF36)</x:f>
        <x:v>-1283776.7708333335</x:v>
      </x:c>
      <x:c r="AG42" s="49" t="n">
        <x:f>AF42+AG32-SUM(AG34:AG36)</x:f>
        <x:v>-1305492.5000000002</x:v>
      </x:c>
      <x:c r="AH42" s="49" t="n">
        <x:f>AG42+AH32-SUM(AH34:AH36)</x:f>
        <x:v>-1325358.1597222225</x:v>
      </x:c>
      <x:c r="AI42" s="49" t="n">
        <x:f>AH42+AI32-SUM(AI34:AI36)</x:f>
        <x:v>-1343373.7500000002</x:v>
      </x:c>
      <x:c r="AJ42" s="49" t="n">
        <x:f>AI42+AJ32-SUM(AJ34:AJ36)</x:f>
        <x:v>-1359539.2708333337</x:v>
      </x:c>
      <x:c r="AK42" s="49" t="n">
        <x:f>AJ42+AK32-SUM(AK34:AK36)</x:f>
        <x:v>-1373854.7222222225</x:v>
      </x:c>
      <x:c r="AL42" s="49" t="n">
        <x:f>AK42+AL32-SUM(AL34:AL36)</x:f>
        <x:v>-1386320.104166667</x:v>
      </x:c>
      <x:c r="AM42" s="49" t="n">
        <x:f>AL42+AM32-SUM(AM34:AM36)</x:f>
        <x:v>-1396935.416666667</x:v>
      </x:c>
      <x:c r="AN42" s="49" t="n">
        <x:f>AM42+AN32-SUM(AN34:AN36)</x:f>
        <x:v>-1411891.8576388892</x:v>
      </x:c>
      <x:c r="AO42" s="49" t="n">
        <x:f>AN42+AO32-SUM(AO34:AO36)</x:f>
        <x:v>-1424217.291666667</x:v>
      </x:c>
      <x:c r="AP42" s="49" t="n">
        <x:f>AO42+AP32-SUM(AP34:AP36)</x:f>
        <x:v>-1433911.7187500005</x:v>
      </x:c>
      <x:c r="AQ42" s="49" t="n">
        <x:f>AP42+AQ32-SUM(AQ34:AQ36)</x:f>
        <x:v>-1440975.1388888895</x:v>
      </x:c>
      <x:c r="AR42" s="49" t="n">
        <x:f>AQ42+AR32-SUM(AR34:AR36)</x:f>
        <x:v>-1445407.552083334</x:v>
      </x:c>
      <x:c r="AS42" s="49" t="n">
        <x:f>AR42+AS32-SUM(AS34:AS36)</x:f>
        <x:v>-1447248.677083334</x:v>
      </x:c>
      <x:c r="AT42" s="49" t="n">
        <x:f>AS42+AT32-SUM(AT34:AT36)</x:f>
        <x:v>-1446984.9965277785</x:v>
      </x:c>
      <x:c r="AU42" s="49" t="n">
        <x:f>AT42+AU32-SUM(AU34:AU36)</x:f>
        <x:v>-1444616.5104166674</x:v>
      </x:c>
      <x:c r="AV42" s="49" t="n">
        <x:f>AU42+AV32-SUM(AV34:AV36)</x:f>
        <x:v>-1440143.2187500007</x:v>
      </x:c>
      <x:c r="AW42" s="49" t="n">
        <x:f>AV42+AW32-SUM(AW34:AW36)</x:f>
        <x:v>-1433565.1215277785</x:v>
      </x:c>
      <x:c r="AX42" s="49" t="n">
        <x:f>AW42+AX32-SUM(AX34:AX36)</x:f>
        <x:v>-1424882.218750001</x:v>
      </x:c>
      <x:c r="AY42" s="49" t="n">
        <x:f>AX42+AY32-SUM(AY34:AY36)</x:f>
        <x:v>-1414094.5104166674</x:v>
      </x:c>
      <x:c r="AZ42" s="49" t="n">
        <x:f>AY42+AZ32-SUM(AZ34:AZ36)</x:f>
        <x:v>-1402146.065972223</x:v>
      </x:c>
      <x:c r="BA42" s="49" t="n">
        <x:f>AZ42+BA32-SUM(BA34:BA36)</x:f>
        <x:v>-1387459.8437500007</x:v>
      </x:c>
      <x:c r="BB42" s="49" t="n">
        <x:f>BA42+BB32-SUM(BB34:BB36)</x:f>
        <x:v>-1370035.8437500007</x:v>
      </x:c>
      <x:c r="BC42" s="49" t="n">
        <x:f>BB42+BC32-SUM(BC34:BC36)</x:f>
        <x:v>-1349874.065972223</x:v>
      </x:c>
      <x:c r="BD42" s="49" t="n">
        <x:f>BC42+BD32-SUM(BD34:BD36)</x:f>
        <x:v>-1326974.5104166674</x:v>
      </x:c>
      <x:c r="BE42" s="49" t="n">
        <x:f>BD42+BE32-SUM(BE34:BE36)</x:f>
        <x:v>-1301337.1770833342</x:v>
      </x:c>
      <x:c r="BF42" s="49" t="n">
        <x:f>BE42+BF32-SUM(BF34:BF36)</x:f>
        <x:v>-1272962.0659722232</x:v>
      </x:c>
      <x:c r="BG42" s="49" t="n">
        <x:f>BF42+BG32-SUM(BG34:BG36)</x:f>
        <x:v>-1241849.1770833342</x:v>
      </x:c>
      <x:c r="BH42" s="49" t="n">
        <x:f>BG42+BH32-SUM(BH34:BH36)</x:f>
        <x:v>-1207998.5104166677</x:v>
      </x:c>
      <x:c r="BI42" s="49" t="n">
        <x:f>BH42+BI32-SUM(BI34:BI36)</x:f>
        <x:v>-1171410.0659722232</x:v>
      </x:c>
      <x:c r="BJ42" s="49" t="n">
        <x:f>BI42+BJ32-SUM(BJ34:BJ36)</x:f>
        <x:v>-1132083.843750001</x:v>
      </x:c>
      <x:c r="BK42" s="49" t="n">
        <x:f>BJ42+BK32-SUM(BK34:BK36)</x:f>
        <x:v>-1090019.843750001</x:v>
      </x:c>
      <x:c r="BL42" s="1"/>
    </x:row>
    <x:row r="43" ht="21" customHeight="1">
      <x:c r="A43" s="1"/>
      <x:c r="B43" s="1"/>
      <x:c r="C43" s="1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  <x:c r="X43" s="50"/>
      <x:c r="Y43" s="50"/>
      <x:c r="Z43" s="50"/>
      <x:c r="AA43" s="50"/>
      <x:c r="AB43" s="50"/>
      <x:c r="AC43" s="50"/>
      <x:c r="AD43" s="50"/>
      <x:c r="AE43" s="50"/>
      <x:c r="AF43" s="50"/>
      <x:c r="AG43" s="50"/>
      <x:c r="AH43" s="50"/>
      <x:c r="AI43" s="50"/>
      <x:c r="AJ43" s="50"/>
      <x:c r="AK43" s="50"/>
      <x:c r="AL43" s="50"/>
      <x:c r="AM43" s="50"/>
      <x:c r="AN43" s="50"/>
      <x:c r="AO43" s="50"/>
      <x:c r="AP43" s="50"/>
      <x:c r="AQ43" s="50"/>
      <x:c r="AR43" s="50"/>
      <x:c r="AS43" s="50"/>
      <x:c r="AT43" s="50"/>
      <x:c r="AU43" s="50"/>
      <x:c r="AV43" s="50"/>
      <x:c r="AW43" s="50"/>
      <x:c r="AX43" s="50"/>
      <x:c r="AY43" s="50"/>
      <x:c r="AZ43" s="50"/>
      <x:c r="BA43" s="50"/>
      <x:c r="BB43" s="50"/>
      <x:c r="BC43" s="50"/>
      <x:c r="BD43" s="50"/>
      <x:c r="BE43" s="50"/>
      <x:c r="BF43" s="50"/>
      <x:c r="BG43" s="50"/>
      <x:c r="BH43" s="50"/>
      <x:c r="BI43" s="50"/>
      <x:c r="BJ43" s="50"/>
      <x:c r="BK43" s="50"/>
      <x:c r="BL43" s="1"/>
    </x:row>
    <x:row r="44" ht="21" customHeight="1">
      <x:c r="A44" s="1"/>
      <x:c r="B44" s="1"/>
      <x:c r="C44" s="54" t="str">
        <x:v>Unrestricted corporate cash</x:v>
      </x:c>
      <x:c r="D44" s="57" t="n">
        <x:f>'Assumptions'!$D$8-'Assumptions'!$D$9+D40</x:f>
        <x:v>1220000</x:v>
      </x:c>
      <x:c r="E44" s="55" t="n">
        <x:f>D44+E40</x:f>
        <x:v>1140000</x:v>
      </x:c>
      <x:c r="F44" s="55" t="n">
        <x:f>E44+F40</x:f>
        <x:v>1060000</x:v>
      </x:c>
      <x:c r="G44" s="55" t="n">
        <x:f>F44+G40</x:f>
        <x:v>980000</x:v>
      </x:c>
      <x:c r="H44" s="55" t="n">
        <x:f>G44+H40</x:f>
        <x:v>900000</x:v>
      </x:c>
      <x:c r="I44" s="55" t="n">
        <x:f>H44+I40</x:f>
        <x:v>806992.8571428572</x:v>
      </x:c>
      <x:c r="J44" s="55" t="n">
        <x:f>I44+J40</x:f>
        <x:v>765211.4285714286</x:v>
      </x:c>
      <x:c r="K44" s="55" t="n">
        <x:f>J44+K40</x:f>
        <x:v>724655.7142857143</x:v>
      </x:c>
      <x:c r="L44" s="55" t="n">
        <x:f>K44+L40</x:f>
        <x:v>685325.7142857143</x:v>
      </x:c>
      <x:c r="M44" s="55" t="n">
        <x:f>L44+M40</x:f>
        <x:v>647221.4285714286</x:v>
      </x:c>
      <x:c r="N44" s="55" t="n">
        <x:f>M44+N40</x:f>
        <x:v>610342.8571428573</x:v>
      </x:c>
      <x:c r="O44" s="55" t="n">
        <x:f>N44+O40</x:f>
        <x:v>574690.0000000001</x:v>
      </x:c>
      <x:c r="P44" s="55" t="n">
        <x:f>O44+P40</x:f>
        <x:v>530945.5642361112</x:v>
      </x:c>
      <x:c r="Q44" s="55" t="n">
        <x:f>P44+Q40</x:f>
        <x:v>488758.6458333335</x:v>
      </x:c>
      <x:c r="R44" s="55" t="n">
        <x:f>Q44+R40</x:f>
        <x:v>448129.2447916668</x:v>
      </x:c>
      <x:c r="S44" s="55" t="n">
        <x:f>R44+S40</x:f>
        <x:v>409057.36111111124</x:v>
      </x:c>
      <x:c r="T44" s="55" t="n">
        <x:f>S44+T40</x:f>
        <x:v>371542.9947916668</x:v>
      </x:c>
      <x:c r="U44" s="55" t="n">
        <x:f>T44+U40</x:f>
        <x:v>335586.14583333343</x:v>
      </x:c>
      <x:c r="V44" s="55" t="n">
        <x:f>U44+V40</x:f>
        <x:v>301186.8142361112</x:v>
      </x:c>
      <x:c r="W44" s="55" t="n">
        <x:f>V44+W40</x:f>
        <x:v>268345.0000000001</x:v>
      </x:c>
      <x:c r="X44" s="55" t="n">
        <x:f>W44+X40</x:f>
        <x:v>237060.7031250001</x:v>
      </x:c>
      <x:c r="Y44" s="55" t="n">
        <x:f>X44+Y40</x:f>
        <x:v>207333.9236111112</x:v>
      </x:c>
      <x:c r="Z44" s="55" t="n">
        <x:f>Y44+Z40</x:f>
        <x:v>179164.6614583334</x:v>
      </x:c>
      <x:c r="AA44" s="55" t="n">
        <x:f>Z44+AA40</x:f>
        <x:v>152552.91666666674</x:v>
      </x:c>
      <x:c r="AB44" s="55" t="n">
        <x:f>AA44+AB40</x:f>
        <x:v>121586.84027777784</x:v>
      </x:c>
      <x:c r="AC44" s="55" t="n">
        <x:f>AB44+AC40</x:f>
        <x:v>92470.8333333334</x:v>
      </x:c>
      <x:c r="AD44" s="55" t="n">
        <x:f>AC44+AD40</x:f>
        <x:v>65204.895833333336</x:v>
      </x:c>
      <x:c r="AE44" s="55" t="n">
        <x:f>AD44+AE40</x:f>
        <x:v>39789.02777777776</x:v>
      </x:c>
      <x:c r="AF44" s="55" t="n">
        <x:f>AE44+AF40</x:f>
        <x:v>16223.22916666665</x:v>
      </x:c>
      <x:c r="AG44" s="55" t="n">
        <x:f>AF44+AG40</x:f>
        <x:v>-5492.50000000008</x:v>
      </x:c>
      <x:c r="AH44" s="55" t="n">
        <x:f>AG44+AH40</x:f>
        <x:v>-25358.159722222314</x:v>
      </x:c>
      <x:c r="AI44" s="55" t="n">
        <x:f>AH44+AI40</x:f>
        <x:v>-43373.75000000008</x:v>
      </x:c>
      <x:c r="AJ44" s="55" t="n">
        <x:f>AI44+AJ40</x:f>
        <x:v>-59539.27083333347</x:v>
      </x:c>
      <x:c r="AK44" s="55" t="n">
        <x:f>AJ44+AK40</x:f>
        <x:v>-73854.7222222223</x:v>
      </x:c>
      <x:c r="AL44" s="55" t="n">
        <x:f>AK44+AL40</x:f>
        <x:v>-86320.10416666683</x:v>
      </x:c>
      <x:c r="AM44" s="55" t="n">
        <x:f>AL44+AM40</x:f>
        <x:v>-97690.41666666685</x:v>
      </x:c>
      <x:c r="AN44" s="55" t="n">
        <x:f>AM44+AN40</x:f>
        <x:v>-164896.02430555577</x:v>
      </x:c>
      <x:c r="AO44" s="55" t="n">
        <x:f>AN44+AO40</x:f>
        <x:v>-191629.79166666686</x:v>
      </x:c>
      <x:c r="AP44" s="55" t="n">
        <x:f>AO44+AP40</x:f>
        <x:v>-215732.55208333355</x:v>
      </x:c>
      <x:c r="AQ44" s="55" t="n">
        <x:f>AP44+AQ40</x:f>
        <x:v>-237204.30555555582</x:v>
      </x:c>
      <x:c r="AR44" s="55" t="n">
        <x:f>AQ44+AR40</x:f>
        <x:v>-256045.0520833336</x:v>
      </x:c>
      <x:c r="AS44" s="55" t="n">
        <x:f>AR44+AS40</x:f>
        <x:v>-272294.5104166669</x:v>
      </x:c>
      <x:c r="AT44" s="55" t="n">
        <x:f>AS44+AT40</x:f>
        <x:v>-286439.16319444467</x:v>
      </x:c>
      <x:c r="AU44" s="55" t="n">
        <x:f>AT44+AU40</x:f>
        <x:v>-298479.0104166669</x:v>
      </x:c>
      <x:c r="AV44" s="55" t="n">
        <x:f>AU44+AV40</x:f>
        <x:v>-308414.0520833336</x:v>
      </x:c>
      <x:c r="AW44" s="55" t="n">
        <x:f>AV44+AW40</x:f>
        <x:v>-316244.28819444467</x:v>
      </x:c>
      <x:c r="AX44" s="55" t="n">
        <x:f>AW44+AX40</x:f>
        <x:v>-321969.7187500003</x:v>
      </x:c>
      <x:c r="AY44" s="55" t="n">
        <x:f>AX44+AY40</x:f>
        <x:v>-325590.34375000035</x:v>
      </x:c>
      <x:c r="AZ44" s="55" t="n">
        <x:f>AY44+AZ40</x:f>
        <x:v>-393790.51041666715</x:v>
      </x:c>
      <x:c r="BA44" s="55" t="n">
        <x:f>AZ44+BA40</x:f>
        <x:v>-397593.17708333366</x:v>
      </x:c>
      <x:c r="BB44" s="55" t="n">
        <x:f>BA44+BB40</x:f>
        <x:v>-398658.0659722226</x:v>
      </x:c>
      <x:c r="BC44" s="55" t="n">
        <x:f>BB44+BC40</x:f>
        <x:v>-396985.1770833339</x:v>
      </x:c>
      <x:c r="BD44" s="55" t="n">
        <x:f>BC44+BD40</x:f>
        <x:v>-392574.5104166671</x:v>
      </x:c>
      <x:c r="BE44" s="55" t="n">
        <x:f>BD44+BE40</x:f>
        <x:v>-385426.06597222283</x:v>
      </x:c>
      <x:c r="BF44" s="55" t="n">
        <x:f>BE44+BF40</x:f>
        <x:v>-375539.84375000076</x:v>
      </x:c>
      <x:c r="BG44" s="55" t="n">
        <x:f>BF44+BG40</x:f>
        <x:v>-362915.84375000047</x:v>
      </x:c>
      <x:c r="BH44" s="55" t="n">
        <x:f>BG44+BH40</x:f>
        <x:v>-347554.0659722229</x:v>
      </x:c>
      <x:c r="BI44" s="55" t="n">
        <x:f>BH44+BI40</x:f>
        <x:v>-329454.5104166677</x:v>
      </x:c>
      <x:c r="BJ44" s="55" t="n">
        <x:f>BI44+BJ40</x:f>
        <x:v>-308617.17708333395</x:v>
      </x:c>
      <x:c r="BK44" s="55" t="n">
        <x:f>BJ44+BK40</x:f>
        <x:v>-285042.06597222306</x:v>
      </x:c>
      <x:c r="BL44" s="1"/>
    </x:row>
    <x:row r="45" ht="21" customHeight="1">
      <x:c r="A45" s="1"/>
      <x:c r="B45" s="1"/>
      <x:c r="C45" s="54" t="str">
        <x:v>Cash above protected contingency</x:v>
      </x:c>
      <x:c r="D45" s="57" t="n">
        <x:f>D44-'Assumptions'!$D$10</x:f>
        <x:v>1020000</x:v>
      </x:c>
      <x:c r="E45" s="57" t="n">
        <x:f>E44-'Assumptions'!$D$10</x:f>
        <x:v>940000</x:v>
      </x:c>
      <x:c r="F45" s="57" t="n">
        <x:f>F44-'Assumptions'!$D$10</x:f>
        <x:v>860000</x:v>
      </x:c>
      <x:c r="G45" s="57" t="n">
        <x:f>G44-'Assumptions'!$D$10</x:f>
        <x:v>780000</x:v>
      </x:c>
      <x:c r="H45" s="57" t="n">
        <x:f>H44-'Assumptions'!$D$10</x:f>
        <x:v>700000</x:v>
      </x:c>
      <x:c r="I45" s="57" t="n">
        <x:f>I44-'Assumptions'!$D$10</x:f>
        <x:v>606992.8571428572</x:v>
      </x:c>
      <x:c r="J45" s="57" t="n">
        <x:f>J44-'Assumptions'!$D$10</x:f>
        <x:v>565211.4285714286</x:v>
      </x:c>
      <x:c r="K45" s="57" t="n">
        <x:f>K44-'Assumptions'!$D$10</x:f>
        <x:v>524655.7142857143</x:v>
      </x:c>
      <x:c r="L45" s="57" t="n">
        <x:f>L44-'Assumptions'!$D$10</x:f>
        <x:v>485325.7142857143</x:v>
      </x:c>
      <x:c r="M45" s="57" t="n">
        <x:f>M44-'Assumptions'!$D$10</x:f>
        <x:v>447221.42857142864</x:v>
      </x:c>
      <x:c r="N45" s="57" t="n">
        <x:f>N44-'Assumptions'!$D$10</x:f>
        <x:v>410342.8571428573</x:v>
      </x:c>
      <x:c r="O45" s="57" t="n">
        <x:f>O44-'Assumptions'!$D$10</x:f>
        <x:v>374690.0000000001</x:v>
      </x:c>
      <x:c r="P45" s="57" t="n">
        <x:f>P44-'Assumptions'!$D$10</x:f>
        <x:v>330945.56423611124</x:v>
      </x:c>
      <x:c r="Q45" s="57" t="n">
        <x:f>Q44-'Assumptions'!$D$10</x:f>
        <x:v>288758.6458333335</x:v>
      </x:c>
      <x:c r="R45" s="57" t="n">
        <x:f>R44-'Assumptions'!$D$10</x:f>
        <x:v>248129.2447916668</x:v>
      </x:c>
      <x:c r="S45" s="57" t="n">
        <x:f>S44-'Assumptions'!$D$10</x:f>
        <x:v>209057.36111111124</x:v>
      </x:c>
      <x:c r="T45" s="57" t="n">
        <x:f>T44-'Assumptions'!$D$10</x:f>
        <x:v>171542.9947916668</x:v>
      </x:c>
      <x:c r="U45" s="57" t="n">
        <x:f>U44-'Assumptions'!$D$10</x:f>
        <x:v>135586.14583333343</x:v>
      </x:c>
      <x:c r="V45" s="57" t="n">
        <x:f>V44-'Assumptions'!$D$10</x:f>
        <x:v>101186.81423611118</x:v>
      </x:c>
      <x:c r="W45" s="57" t="n">
        <x:f>W44-'Assumptions'!$D$10</x:f>
        <x:v>68345.00000000012</x:v>
      </x:c>
      <x:c r="X45" s="57" t="n">
        <x:f>X44-'Assumptions'!$D$10</x:f>
        <x:v>37060.70312500009</x:v>
      </x:c>
      <x:c r="Y45" s="57" t="n">
        <x:f>Y44-'Assumptions'!$D$10</x:f>
        <x:v>7333.923611111211</x:v>
      </x:c>
      <x:c r="Z45" s="57" t="n">
        <x:f>Z44-'Assumptions'!$D$10</x:f>
        <x:v>-20835.3385416666</x:v>
      </x:c>
      <x:c r="AA45" s="57" t="n">
        <x:f>AA44-'Assumptions'!$D$10</x:f>
        <x:v>-47447.083333333256</x:v>
      </x:c>
      <x:c r="AB45" s="57" t="n">
        <x:f>AB44-'Assumptions'!$D$10</x:f>
        <x:v>-78413.15972222216</x:v>
      </x:c>
      <x:c r="AC45" s="57" t="n">
        <x:f>AC44-'Assumptions'!$D$10</x:f>
        <x:v>-107529.1666666666</x:v>
      </x:c>
      <x:c r="AD45" s="57" t="n">
        <x:f>AD44-'Assumptions'!$D$10</x:f>
        <x:v>-134795.10416666666</x:v>
      </x:c>
      <x:c r="AE45" s="57" t="n">
        <x:f>AE44-'Assumptions'!$D$10</x:f>
        <x:v>-160210.97222222225</x:v>
      </x:c>
      <x:c r="AF45" s="57" t="n">
        <x:f>AF44-'Assumptions'!$D$10</x:f>
        <x:v>-183776.77083333334</x:v>
      </x:c>
      <x:c r="AG45" s="57" t="n">
        <x:f>AG44-'Assumptions'!$D$10</x:f>
        <x:v>-205492.5000000001</x:v>
      </x:c>
      <x:c r="AH45" s="57" t="n">
        <x:f>AH44-'Assumptions'!$D$10</x:f>
        <x:v>-225358.1597222223</x:v>
      </x:c>
      <x:c r="AI45" s="57" t="n">
        <x:f>AI44-'Assumptions'!$D$10</x:f>
        <x:v>-243373.7500000001</x:v>
      </x:c>
      <x:c r="AJ45" s="57" t="n">
        <x:f>AJ44-'Assumptions'!$D$10</x:f>
        <x:v>-259539.27083333346</x:v>
      </x:c>
      <x:c r="AK45" s="57" t="n">
        <x:f>AK44-'Assumptions'!$D$10</x:f>
        <x:v>-273854.7222222223</x:v>
      </x:c>
      <x:c r="AL45" s="57" t="n">
        <x:f>AL44-'Assumptions'!$D$10</x:f>
        <x:v>-286320.10416666686</x:v>
      </x:c>
      <x:c r="AM45" s="57" t="n">
        <x:f>AM44-'Assumptions'!$D$10</x:f>
        <x:v>-297690.41666666686</x:v>
      </x:c>
      <x:c r="AN45" s="57" t="n">
        <x:f>AN44-'Assumptions'!$D$10</x:f>
        <x:v>-364896.02430555574</x:v>
      </x:c>
      <x:c r="AO45" s="57" t="n">
        <x:f>AO44-'Assumptions'!$D$10</x:f>
        <x:v>-391629.79166666686</x:v>
      </x:c>
      <x:c r="AP45" s="57" t="n">
        <x:f>AP44-'Assumptions'!$D$10</x:f>
        <x:v>-415732.55208333355</x:v>
      </x:c>
      <x:c r="AQ45" s="57" t="n">
        <x:f>AQ44-'Assumptions'!$D$10</x:f>
        <x:v>-437204.30555555585</x:v>
      </x:c>
      <x:c r="AR45" s="57" t="n">
        <x:f>AR44-'Assumptions'!$D$10</x:f>
        <x:v>-456045.0520833336</x:v>
      </x:c>
      <x:c r="AS45" s="57" t="n">
        <x:f>AS44-'Assumptions'!$D$10</x:f>
        <x:v>-472294.5104166669</x:v>
      </x:c>
      <x:c r="AT45" s="57" t="n">
        <x:f>AT44-'Assumptions'!$D$10</x:f>
        <x:v>-486439.16319444467</x:v>
      </x:c>
      <x:c r="AU45" s="57" t="n">
        <x:f>AU44-'Assumptions'!$D$10</x:f>
        <x:v>-498479.0104166669</x:v>
      </x:c>
      <x:c r="AV45" s="57" t="n">
        <x:f>AV44-'Assumptions'!$D$10</x:f>
        <x:v>-508414.0520833336</x:v>
      </x:c>
      <x:c r="AW45" s="57" t="n">
        <x:f>AW44-'Assumptions'!$D$10</x:f>
        <x:v>-516244.28819444467</x:v>
      </x:c>
      <x:c r="AX45" s="57" t="n">
        <x:f>AX44-'Assumptions'!$D$10</x:f>
        <x:v>-521969.7187500003</x:v>
      </x:c>
      <x:c r="AY45" s="57" t="n">
        <x:f>AY44-'Assumptions'!$D$10</x:f>
        <x:v>-525590.3437500003</x:v>
      </x:c>
      <x:c r="AZ45" s="57" t="n">
        <x:f>AZ44-'Assumptions'!$D$10</x:f>
        <x:v>-593790.5104166672</x:v>
      </x:c>
      <x:c r="BA45" s="57" t="n">
        <x:f>BA44-'Assumptions'!$D$10</x:f>
        <x:v>-597593.1770833337</x:v>
      </x:c>
      <x:c r="BB45" s="57" t="n">
        <x:f>BB44-'Assumptions'!$D$10</x:f>
        <x:v>-598658.0659722226</x:v>
      </x:c>
      <x:c r="BC45" s="57" t="n">
        <x:f>BC44-'Assumptions'!$D$10</x:f>
        <x:v>-596985.177083334</x:v>
      </x:c>
      <x:c r="BD45" s="57" t="n">
        <x:f>BD44-'Assumptions'!$D$10</x:f>
        <x:v>-592574.5104166671</x:v>
      </x:c>
      <x:c r="BE45" s="57" t="n">
        <x:f>BE44-'Assumptions'!$D$10</x:f>
        <x:v>-585426.0659722228</x:v>
      </x:c>
      <x:c r="BF45" s="57" t="n">
        <x:f>BF44-'Assumptions'!$D$10</x:f>
        <x:v>-575539.8437500007</x:v>
      </x:c>
      <x:c r="BG45" s="57" t="n">
        <x:f>BG44-'Assumptions'!$D$10</x:f>
        <x:v>-562915.8437500005</x:v>
      </x:c>
      <x:c r="BH45" s="57" t="n">
        <x:f>BH44-'Assumptions'!$D$10</x:f>
        <x:v>-547554.065972223</x:v>
      </x:c>
      <x:c r="BI45" s="57" t="n">
        <x:f>BI44-'Assumptions'!$D$10</x:f>
        <x:v>-529454.5104166677</x:v>
      </x:c>
      <x:c r="BJ45" s="57" t="n">
        <x:f>BJ44-'Assumptions'!$D$10</x:f>
        <x:v>-508617.17708333395</x:v>
      </x:c>
      <x:c r="BK45" s="57" t="n">
        <x:f>BK44-'Assumptions'!$D$10</x:f>
        <x:v>-485042.06597222306</x:v>
      </x:c>
      <x:c r="BL45" s="1"/>
    </x:row>
    <x:row r="46" ht="21" customHeight="1">
      <x:c r="A46" s="1"/>
      <x:c r="B46" s="1"/>
      <x:c r="C46" s="1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  <x:c r="X46" s="50"/>
      <x:c r="Y46" s="50"/>
      <x:c r="Z46" s="50"/>
      <x:c r="AA46" s="50"/>
      <x:c r="AB46" s="50"/>
      <x:c r="AC46" s="50"/>
      <x:c r="AD46" s="50"/>
      <x:c r="AE46" s="50"/>
      <x:c r="AF46" s="50"/>
      <x:c r="AG46" s="50"/>
      <x:c r="AH46" s="50"/>
      <x:c r="AI46" s="50"/>
      <x:c r="AJ46" s="50"/>
      <x:c r="AK46" s="50"/>
      <x:c r="AL46" s="50"/>
      <x:c r="AM46" s="50"/>
      <x:c r="AN46" s="50"/>
      <x:c r="AO46" s="50"/>
      <x:c r="AP46" s="50"/>
      <x:c r="AQ46" s="50"/>
      <x:c r="AR46" s="50"/>
      <x:c r="AS46" s="50"/>
      <x:c r="AT46" s="50"/>
      <x:c r="AU46" s="50"/>
      <x:c r="AV46" s="50"/>
      <x:c r="AW46" s="50"/>
      <x:c r="AX46" s="50"/>
      <x:c r="AY46" s="50"/>
      <x:c r="AZ46" s="50"/>
      <x:c r="BA46" s="50"/>
      <x:c r="BB46" s="50"/>
      <x:c r="BC46" s="50"/>
      <x:c r="BD46" s="50"/>
      <x:c r="BE46" s="50"/>
      <x:c r="BF46" s="50"/>
      <x:c r="BG46" s="50"/>
      <x:c r="BH46" s="50"/>
      <x:c r="BI46" s="50"/>
      <x:c r="BJ46" s="50"/>
      <x:c r="BK46" s="50"/>
      <x:c r="BL46" s="1"/>
    </x:row>
    <x:row r="47" ht="21" customHeight="1">
      <x:c r="A47" s="1"/>
      <x:c r="B47" s="1"/>
      <x:c r="C47" s="1" t="str">
        <x:v>Three profitable months reached</x:v>
      </x:c>
      <x:c r="D47" s="20" t="n">
        <x:f>0</x:f>
        <x:v>0</x:v>
      </x:c>
      <x:c r="E47" s="20" t="n">
        <x:f>0</x:f>
        <x:v>0</x:v>
      </x:c>
      <x:c r="F47" s="20" t="n">
        <x:f>IF(AND(F32&gt;0,E32&gt;0,D32&gt;0),1,0)</x:f>
        <x:v>0</x:v>
      </x:c>
      <x:c r="G47" s="20" t="n">
        <x:f>IF(AND(G32&gt;0,F32&gt;0,E32&gt;0),1,0)</x:f>
        <x:v>0</x:v>
      </x:c>
      <x:c r="H47" s="20" t="n">
        <x:f>IF(AND(H32&gt;0,G32&gt;0,F32&gt;0),1,0)</x:f>
        <x:v>0</x:v>
      </x:c>
      <x:c r="I47" s="20" t="n">
        <x:f>IF(AND(I32&gt;0,H32&gt;0,G32&gt;0),1,0)</x:f>
        <x:v>0</x:v>
      </x:c>
      <x:c r="J47" s="20" t="n">
        <x:f>IF(AND(J32&gt;0,I32&gt;0,H32&gt;0),1,0)</x:f>
        <x:v>0</x:v>
      </x:c>
      <x:c r="K47" s="20" t="n">
        <x:f>IF(AND(K32&gt;0,J32&gt;0,I32&gt;0),1,0)</x:f>
        <x:v>0</x:v>
      </x:c>
      <x:c r="L47" s="20" t="n">
        <x:f>IF(AND(L32&gt;0,K32&gt;0,J32&gt;0),1,0)</x:f>
        <x:v>0</x:v>
      </x:c>
      <x:c r="M47" s="20" t="n">
        <x:f>IF(AND(M32&gt;0,L32&gt;0,K32&gt;0),1,0)</x:f>
        <x:v>0</x:v>
      </x:c>
      <x:c r="N47" s="20" t="n">
        <x:f>IF(AND(N32&gt;0,M32&gt;0,L32&gt;0),1,0)</x:f>
        <x:v>0</x:v>
      </x:c>
      <x:c r="O47" s="20" t="n">
        <x:f>IF(AND(O32&gt;0,N32&gt;0,M32&gt;0),1,0)</x:f>
        <x:v>0</x:v>
      </x:c>
      <x:c r="P47" s="20" t="n">
        <x:f>IF(AND(P32&gt;0,O32&gt;0,N32&gt;0),1,0)</x:f>
        <x:v>0</x:v>
      </x:c>
      <x:c r="Q47" s="20" t="n">
        <x:f>IF(AND(Q32&gt;0,P32&gt;0,O32&gt;0),1,0)</x:f>
        <x:v>0</x:v>
      </x:c>
      <x:c r="R47" s="20" t="n">
        <x:f>IF(AND(R32&gt;0,Q32&gt;0,P32&gt;0),1,0)</x:f>
        <x:v>0</x:v>
      </x:c>
      <x:c r="S47" s="20" t="n">
        <x:f>IF(AND(S32&gt;0,R32&gt;0,Q32&gt;0),1,0)</x:f>
        <x:v>0</x:v>
      </x:c>
      <x:c r="T47" s="20" t="n">
        <x:f>IF(AND(T32&gt;0,S32&gt;0,R32&gt;0),1,0)</x:f>
        <x:v>0</x:v>
      </x:c>
      <x:c r="U47" s="20" t="n">
        <x:f>IF(AND(U32&gt;0,T32&gt;0,S32&gt;0),1,0)</x:f>
        <x:v>0</x:v>
      </x:c>
      <x:c r="V47" s="20" t="n">
        <x:f>IF(AND(V32&gt;0,U32&gt;0,T32&gt;0),1,0)</x:f>
        <x:v>0</x:v>
      </x:c>
      <x:c r="W47" s="20" t="n">
        <x:f>IF(AND(W32&gt;0,V32&gt;0,U32&gt;0),1,0)</x:f>
        <x:v>0</x:v>
      </x:c>
      <x:c r="X47" s="20" t="n">
        <x:f>IF(AND(X32&gt;0,W32&gt;0,V32&gt;0),1,0)</x:f>
        <x:v>0</x:v>
      </x:c>
      <x:c r="Y47" s="20" t="n">
        <x:f>IF(AND(Y32&gt;0,X32&gt;0,W32&gt;0),1,0)</x:f>
        <x:v>0</x:v>
      </x:c>
      <x:c r="Z47" s="20" t="n">
        <x:f>IF(AND(Z32&gt;0,Y32&gt;0,X32&gt;0),1,0)</x:f>
        <x:v>0</x:v>
      </x:c>
      <x:c r="AA47" s="20" t="n">
        <x:f>IF(AND(AA32&gt;0,Z32&gt;0,Y32&gt;0),1,0)</x:f>
        <x:v>0</x:v>
      </x:c>
      <x:c r="AB47" s="20" t="n">
        <x:f>IF(AND(AB32&gt;0,AA32&gt;0,Z32&gt;0),1,0)</x:f>
        <x:v>0</x:v>
      </x:c>
      <x:c r="AC47" s="20" t="n">
        <x:f>IF(AND(AC32&gt;0,AB32&gt;0,AA32&gt;0),1,0)</x:f>
        <x:v>0</x:v>
      </x:c>
      <x:c r="AD47" s="20" t="n">
        <x:f>IF(AND(AD32&gt;0,AC32&gt;0,AB32&gt;0),1,0)</x:f>
        <x:v>0</x:v>
      </x:c>
      <x:c r="AE47" s="20" t="n">
        <x:f>IF(AND(AE32&gt;0,AD32&gt;0,AC32&gt;0),1,0)</x:f>
        <x:v>0</x:v>
      </x:c>
      <x:c r="AF47" s="20" t="n">
        <x:f>IF(AND(AF32&gt;0,AE32&gt;0,AD32&gt;0),1,0)</x:f>
        <x:v>0</x:v>
      </x:c>
      <x:c r="AG47" s="20" t="n">
        <x:f>IF(AND(AG32&gt;0,AF32&gt;0,AE32&gt;0),1,0)</x:f>
        <x:v>0</x:v>
      </x:c>
      <x:c r="AH47" s="20" t="n">
        <x:f>IF(AND(AH32&gt;0,AG32&gt;0,AF32&gt;0),1,0)</x:f>
        <x:v>0</x:v>
      </x:c>
      <x:c r="AI47" s="20" t="n">
        <x:f>IF(AND(AI32&gt;0,AH32&gt;0,AG32&gt;0),1,0)</x:f>
        <x:v>0</x:v>
      </x:c>
      <x:c r="AJ47" s="20" t="n">
        <x:f>IF(AND(AJ32&gt;0,AI32&gt;0,AH32&gt;0),1,0)</x:f>
        <x:v>0</x:v>
      </x:c>
      <x:c r="AK47" s="20" t="n">
        <x:f>IF(AND(AK32&gt;0,AJ32&gt;0,AI32&gt;0),1,0)</x:f>
        <x:v>0</x:v>
      </x:c>
      <x:c r="AL47" s="20" t="n">
        <x:f>IF(AND(AL32&gt;0,AK32&gt;0,AJ32&gt;0),1,0)</x:f>
        <x:v>0</x:v>
      </x:c>
      <x:c r="AM47" s="20" t="n">
        <x:f>IF(AND(AM32&gt;0,AL32&gt;0,AK32&gt;0),1,0)</x:f>
        <x:v>0</x:v>
      </x:c>
      <x:c r="AN47" s="20" t="n">
        <x:f>IF(AND(AN32&gt;0,AM32&gt;0,AL32&gt;0),1,0)</x:f>
        <x:v>0</x:v>
      </x:c>
      <x:c r="AO47" s="20" t="n">
        <x:f>IF(AND(AO32&gt;0,AN32&gt;0,AM32&gt;0),1,0)</x:f>
        <x:v>0</x:v>
      </x:c>
      <x:c r="AP47" s="20" t="n">
        <x:f>IF(AND(AP32&gt;0,AO32&gt;0,AN32&gt;0),1,0)</x:f>
        <x:v>0</x:v>
      </x:c>
      <x:c r="AQ47" s="20" t="n">
        <x:f>IF(AND(AQ32&gt;0,AP32&gt;0,AO32&gt;0),1,0)</x:f>
        <x:v>0</x:v>
      </x:c>
      <x:c r="AR47" s="20" t="n">
        <x:f>IF(AND(AR32&gt;0,AQ32&gt;0,AP32&gt;0),1,0)</x:f>
        <x:v>0</x:v>
      </x:c>
      <x:c r="AS47" s="20" t="n">
        <x:f>IF(AND(AS32&gt;0,AR32&gt;0,AQ32&gt;0),1,0)</x:f>
        <x:v>0</x:v>
      </x:c>
      <x:c r="AT47" s="20" t="n">
        <x:f>IF(AND(AT32&gt;0,AS32&gt;0,AR32&gt;0),1,0)</x:f>
        <x:v>0</x:v>
      </x:c>
      <x:c r="AU47" s="20" t="n">
        <x:f>IF(AND(AU32&gt;0,AT32&gt;0,AS32&gt;0),1,0)</x:f>
        <x:v>1</x:v>
      </x:c>
      <x:c r="AV47" s="20" t="n">
        <x:f>IF(AND(AV32&gt;0,AU32&gt;0,AT32&gt;0),1,0)</x:f>
        <x:v>1</x:v>
      </x:c>
      <x:c r="AW47" s="20" t="n">
        <x:f>IF(AND(AW32&gt;0,AV32&gt;0,AU32&gt;0),1,0)</x:f>
        <x:v>1</x:v>
      </x:c>
      <x:c r="AX47" s="20" t="n">
        <x:f>IF(AND(AX32&gt;0,AW32&gt;0,AV32&gt;0),1,0)</x:f>
        <x:v>1</x:v>
      </x:c>
      <x:c r="AY47" s="20" t="n">
        <x:f>IF(AND(AY32&gt;0,AX32&gt;0,AW32&gt;0),1,0)</x:f>
        <x:v>1</x:v>
      </x:c>
      <x:c r="AZ47" s="20" t="n">
        <x:f>IF(AND(AZ32&gt;0,AY32&gt;0,AX32&gt;0),1,0)</x:f>
        <x:v>1</x:v>
      </x:c>
      <x:c r="BA47" s="20" t="n">
        <x:f>IF(AND(BA32&gt;0,AZ32&gt;0,AY32&gt;0),1,0)</x:f>
        <x:v>1</x:v>
      </x:c>
      <x:c r="BB47" s="20" t="n">
        <x:f>IF(AND(BB32&gt;0,BA32&gt;0,AZ32&gt;0),1,0)</x:f>
        <x:v>1</x:v>
      </x:c>
      <x:c r="BC47" s="20" t="n">
        <x:f>IF(AND(BC32&gt;0,BB32&gt;0,BA32&gt;0),1,0)</x:f>
        <x:v>1</x:v>
      </x:c>
      <x:c r="BD47" s="20" t="n">
        <x:f>IF(AND(BD32&gt;0,BC32&gt;0,BB32&gt;0),1,0)</x:f>
        <x:v>1</x:v>
      </x:c>
      <x:c r="BE47" s="20" t="n">
        <x:f>IF(AND(BE32&gt;0,BD32&gt;0,BC32&gt;0),1,0)</x:f>
        <x:v>1</x:v>
      </x:c>
      <x:c r="BF47" s="20" t="n">
        <x:f>IF(AND(BF32&gt;0,BE32&gt;0,BD32&gt;0),1,0)</x:f>
        <x:v>1</x:v>
      </x:c>
      <x:c r="BG47" s="20" t="n">
        <x:f>IF(AND(BG32&gt;0,BF32&gt;0,BE32&gt;0),1,0)</x:f>
        <x:v>1</x:v>
      </x:c>
      <x:c r="BH47" s="20" t="n">
        <x:f>IF(AND(BH32&gt;0,BG32&gt;0,BF32&gt;0),1,0)</x:f>
        <x:v>1</x:v>
      </x:c>
      <x:c r="BI47" s="20" t="n">
        <x:f>IF(AND(BI32&gt;0,BH32&gt;0,BG32&gt;0),1,0)</x:f>
        <x:v>1</x:v>
      </x:c>
      <x:c r="BJ47" s="20" t="n">
        <x:f>IF(AND(BJ32&gt;0,BI32&gt;0,BH32&gt;0),1,0)</x:f>
        <x:v>1</x:v>
      </x:c>
      <x:c r="BK47" s="20" t="n">
        <x:f>IF(AND(BK32&gt;0,BJ32&gt;0,BI32&gt;0),1,0)</x:f>
        <x:v>1</x:v>
      </x:c>
      <x:c r="BL47" s="1"/>
    </x:row>
    <x:row r="48" ht="21" customHeight="1">
      <x:c r="A48" s="1"/>
      <x:c r="B48" s="1"/>
      <x:c r="C48" s="1" t="str">
        <x:v>Setup and operating losses recovered</x:v>
      </x:c>
      <x:c r="D48" s="20" t="n">
        <x:f>IF(D42&gt;=0,1,0)</x:f>
        <x:v>0</x:v>
      </x:c>
      <x:c r="E48" s="20" t="n">
        <x:f>IF(E42&gt;=0,1,0)</x:f>
        <x:v>0</x:v>
      </x:c>
      <x:c r="F48" s="20" t="n">
        <x:f>IF(F42&gt;=0,1,0)</x:f>
        <x:v>0</x:v>
      </x:c>
      <x:c r="G48" s="20" t="n">
        <x:f>IF(G42&gt;=0,1,0)</x:f>
        <x:v>0</x:v>
      </x:c>
      <x:c r="H48" s="20" t="n">
        <x:f>IF(H42&gt;=0,1,0)</x:f>
        <x:v>0</x:v>
      </x:c>
      <x:c r="I48" s="20" t="n">
        <x:f>IF(I42&gt;=0,1,0)</x:f>
        <x:v>0</x:v>
      </x:c>
      <x:c r="J48" s="20" t="n">
        <x:f>IF(J42&gt;=0,1,0)</x:f>
        <x:v>0</x:v>
      </x:c>
      <x:c r="K48" s="20" t="n">
        <x:f>IF(K42&gt;=0,1,0)</x:f>
        <x:v>0</x:v>
      </x:c>
      <x:c r="L48" s="20" t="n">
        <x:f>IF(L42&gt;=0,1,0)</x:f>
        <x:v>0</x:v>
      </x:c>
      <x:c r="M48" s="20" t="n">
        <x:f>IF(M42&gt;=0,1,0)</x:f>
        <x:v>0</x:v>
      </x:c>
      <x:c r="N48" s="20" t="n">
        <x:f>IF(N42&gt;=0,1,0)</x:f>
        <x:v>0</x:v>
      </x:c>
      <x:c r="O48" s="20" t="n">
        <x:f>IF(O42&gt;=0,1,0)</x:f>
        <x:v>0</x:v>
      </x:c>
      <x:c r="P48" s="20" t="n">
        <x:f>IF(P42&gt;=0,1,0)</x:f>
        <x:v>0</x:v>
      </x:c>
      <x:c r="Q48" s="20" t="n">
        <x:f>IF(Q42&gt;=0,1,0)</x:f>
        <x:v>0</x:v>
      </x:c>
      <x:c r="R48" s="20" t="n">
        <x:f>IF(R42&gt;=0,1,0)</x:f>
        <x:v>0</x:v>
      </x:c>
      <x:c r="S48" s="20" t="n">
        <x:f>IF(S42&gt;=0,1,0)</x:f>
        <x:v>0</x:v>
      </x:c>
      <x:c r="T48" s="20" t="n">
        <x:f>IF(T42&gt;=0,1,0)</x:f>
        <x:v>0</x:v>
      </x:c>
      <x:c r="U48" s="20" t="n">
        <x:f>IF(U42&gt;=0,1,0)</x:f>
        <x:v>0</x:v>
      </x:c>
      <x:c r="V48" s="20" t="n">
        <x:f>IF(V42&gt;=0,1,0)</x:f>
        <x:v>0</x:v>
      </x:c>
      <x:c r="W48" s="20" t="n">
        <x:f>IF(W42&gt;=0,1,0)</x:f>
        <x:v>0</x:v>
      </x:c>
      <x:c r="X48" s="20" t="n">
        <x:f>IF(X42&gt;=0,1,0)</x:f>
        <x:v>0</x:v>
      </x:c>
      <x:c r="Y48" s="20" t="n">
        <x:f>IF(Y42&gt;=0,1,0)</x:f>
        <x:v>0</x:v>
      </x:c>
      <x:c r="Z48" s="20" t="n">
        <x:f>IF(Z42&gt;=0,1,0)</x:f>
        <x:v>0</x:v>
      </x:c>
      <x:c r="AA48" s="20" t="n">
        <x:f>IF(AA42&gt;=0,1,0)</x:f>
        <x:v>0</x:v>
      </x:c>
      <x:c r="AB48" s="20" t="n">
        <x:f>IF(AB42&gt;=0,1,0)</x:f>
        <x:v>0</x:v>
      </x:c>
      <x:c r="AC48" s="20" t="n">
        <x:f>IF(AC42&gt;=0,1,0)</x:f>
        <x:v>0</x:v>
      </x:c>
      <x:c r="AD48" s="20" t="n">
        <x:f>IF(AD42&gt;=0,1,0)</x:f>
        <x:v>0</x:v>
      </x:c>
      <x:c r="AE48" s="20" t="n">
        <x:f>IF(AE42&gt;=0,1,0)</x:f>
        <x:v>0</x:v>
      </x:c>
      <x:c r="AF48" s="20" t="n">
        <x:f>IF(AF42&gt;=0,1,0)</x:f>
        <x:v>0</x:v>
      </x:c>
      <x:c r="AG48" s="20" t="n">
        <x:f>IF(AG42&gt;=0,1,0)</x:f>
        <x:v>0</x:v>
      </x:c>
      <x:c r="AH48" s="20" t="n">
        <x:f>IF(AH42&gt;=0,1,0)</x:f>
        <x:v>0</x:v>
      </x:c>
      <x:c r="AI48" s="20" t="n">
        <x:f>IF(AI42&gt;=0,1,0)</x:f>
        <x:v>0</x:v>
      </x:c>
      <x:c r="AJ48" s="20" t="n">
        <x:f>IF(AJ42&gt;=0,1,0)</x:f>
        <x:v>0</x:v>
      </x:c>
      <x:c r="AK48" s="20" t="n">
        <x:f>IF(AK42&gt;=0,1,0)</x:f>
        <x:v>0</x:v>
      </x:c>
      <x:c r="AL48" s="20" t="n">
        <x:f>IF(AL42&gt;=0,1,0)</x:f>
        <x:v>0</x:v>
      </x:c>
      <x:c r="AM48" s="20" t="n">
        <x:f>IF(AM42&gt;=0,1,0)</x:f>
        <x:v>0</x:v>
      </x:c>
      <x:c r="AN48" s="20" t="n">
        <x:f>IF(AN42&gt;=0,1,0)</x:f>
        <x:v>0</x:v>
      </x:c>
      <x:c r="AO48" s="20" t="n">
        <x:f>IF(AO42&gt;=0,1,0)</x:f>
        <x:v>0</x:v>
      </x:c>
      <x:c r="AP48" s="20" t="n">
        <x:f>IF(AP42&gt;=0,1,0)</x:f>
        <x:v>0</x:v>
      </x:c>
      <x:c r="AQ48" s="20" t="n">
        <x:f>IF(AQ42&gt;=0,1,0)</x:f>
        <x:v>0</x:v>
      </x:c>
      <x:c r="AR48" s="20" t="n">
        <x:f>IF(AR42&gt;=0,1,0)</x:f>
        <x:v>0</x:v>
      </x:c>
      <x:c r="AS48" s="20" t="n">
        <x:f>IF(AS42&gt;=0,1,0)</x:f>
        <x:v>0</x:v>
      </x:c>
      <x:c r="AT48" s="20" t="n">
        <x:f>IF(AT42&gt;=0,1,0)</x:f>
        <x:v>0</x:v>
      </x:c>
      <x:c r="AU48" s="20" t="n">
        <x:f>IF(AU42&gt;=0,1,0)</x:f>
        <x:v>0</x:v>
      </x:c>
      <x:c r="AV48" s="20" t="n">
        <x:f>IF(AV42&gt;=0,1,0)</x:f>
        <x:v>0</x:v>
      </x:c>
      <x:c r="AW48" s="20" t="n">
        <x:f>IF(AW42&gt;=0,1,0)</x:f>
        <x:v>0</x:v>
      </x:c>
      <x:c r="AX48" s="20" t="n">
        <x:f>IF(AX42&gt;=0,1,0)</x:f>
        <x:v>0</x:v>
      </x:c>
      <x:c r="AY48" s="20" t="n">
        <x:f>IF(AY42&gt;=0,1,0)</x:f>
        <x:v>0</x:v>
      </x:c>
      <x:c r="AZ48" s="20" t="n">
        <x:f>IF(AZ42&gt;=0,1,0)</x:f>
        <x:v>0</x:v>
      </x:c>
      <x:c r="BA48" s="20" t="n">
        <x:f>IF(BA42&gt;=0,1,0)</x:f>
        <x:v>0</x:v>
      </x:c>
      <x:c r="BB48" s="20" t="n">
        <x:f>IF(BB42&gt;=0,1,0)</x:f>
        <x:v>0</x:v>
      </x:c>
      <x:c r="BC48" s="20" t="n">
        <x:f>IF(BC42&gt;=0,1,0)</x:f>
        <x:v>0</x:v>
      </x:c>
      <x:c r="BD48" s="20" t="n">
        <x:f>IF(BD42&gt;=0,1,0)</x:f>
        <x:v>0</x:v>
      </x:c>
      <x:c r="BE48" s="20" t="n">
        <x:f>IF(BE42&gt;=0,1,0)</x:f>
        <x:v>0</x:v>
      </x:c>
      <x:c r="BF48" s="20" t="n">
        <x:f>IF(BF42&gt;=0,1,0)</x:f>
        <x:v>0</x:v>
      </x:c>
      <x:c r="BG48" s="20" t="n">
        <x:f>IF(BG42&gt;=0,1,0)</x:f>
        <x:v>0</x:v>
      </x:c>
      <x:c r="BH48" s="20" t="n">
        <x:f>IF(BH42&gt;=0,1,0)</x:f>
        <x:v>0</x:v>
      </x:c>
      <x:c r="BI48" s="20" t="n">
        <x:f>IF(BI42&gt;=0,1,0)</x:f>
        <x:v>0</x:v>
      </x:c>
      <x:c r="BJ48" s="20" t="n">
        <x:f>IF(BJ42&gt;=0,1,0)</x:f>
        <x:v>0</x:v>
      </x:c>
      <x:c r="BK48" s="20" t="n">
        <x:f>IF(BK42&gt;=0,1,0)</x:f>
        <x:v>0</x:v>
      </x:c>
      <x:c r="BL48" s="1"/>
    </x:row>
    <x:row r="49" ht="21" customHeight="1">
      <x:c r="A49" s="1"/>
      <x:c r="B49" s="1"/>
      <x:c r="C49" s="1" t="str">
        <x:v>Full $1.6m earned back from free cash</x:v>
      </x:c>
      <x:c r="D49" s="51" t="n">
        <x:f>IF(D41&gt;='Assumptions'!$D$8,1,0)</x:f>
        <x:v>0</x:v>
      </x:c>
      <x:c r="E49" s="51" t="n">
        <x:f>IF(E41&gt;='Assumptions'!$D$8,1,0)</x:f>
        <x:v>0</x:v>
      </x:c>
      <x:c r="F49" s="51" t="n">
        <x:f>IF(F41&gt;='Assumptions'!$D$8,1,0)</x:f>
        <x:v>0</x:v>
      </x:c>
      <x:c r="G49" s="51" t="n">
        <x:f>IF(G41&gt;='Assumptions'!$D$8,1,0)</x:f>
        <x:v>0</x:v>
      </x:c>
      <x:c r="H49" s="51" t="n">
        <x:f>IF(H41&gt;='Assumptions'!$D$8,1,0)</x:f>
        <x:v>0</x:v>
      </x:c>
      <x:c r="I49" s="51" t="n">
        <x:f>IF(I41&gt;='Assumptions'!$D$8,1,0)</x:f>
        <x:v>0</x:v>
      </x:c>
      <x:c r="J49" s="51" t="n">
        <x:f>IF(J41&gt;='Assumptions'!$D$8,1,0)</x:f>
        <x:v>0</x:v>
      </x:c>
      <x:c r="K49" s="51" t="n">
        <x:f>IF(K41&gt;='Assumptions'!$D$8,1,0)</x:f>
        <x:v>0</x:v>
      </x:c>
      <x:c r="L49" s="51" t="n">
        <x:f>IF(L41&gt;='Assumptions'!$D$8,1,0)</x:f>
        <x:v>0</x:v>
      </x:c>
      <x:c r="M49" s="51" t="n">
        <x:f>IF(M41&gt;='Assumptions'!$D$8,1,0)</x:f>
        <x:v>0</x:v>
      </x:c>
      <x:c r="N49" s="51" t="n">
        <x:f>IF(N41&gt;='Assumptions'!$D$8,1,0)</x:f>
        <x:v>0</x:v>
      </x:c>
      <x:c r="O49" s="51" t="n">
        <x:f>IF(O41&gt;='Assumptions'!$D$8,1,0)</x:f>
        <x:v>0</x:v>
      </x:c>
      <x:c r="P49" s="51" t="n">
        <x:f>IF(P41&gt;='Assumptions'!$D$8,1,0)</x:f>
        <x:v>0</x:v>
      </x:c>
      <x:c r="Q49" s="51" t="n">
        <x:f>IF(Q41&gt;='Assumptions'!$D$8,1,0)</x:f>
        <x:v>0</x:v>
      </x:c>
      <x:c r="R49" s="51" t="n">
        <x:f>IF(R41&gt;='Assumptions'!$D$8,1,0)</x:f>
        <x:v>0</x:v>
      </x:c>
      <x:c r="S49" s="51" t="n">
        <x:f>IF(S41&gt;='Assumptions'!$D$8,1,0)</x:f>
        <x:v>0</x:v>
      </x:c>
      <x:c r="T49" s="51" t="n">
        <x:f>IF(T41&gt;='Assumptions'!$D$8,1,0)</x:f>
        <x:v>0</x:v>
      </x:c>
      <x:c r="U49" s="51" t="n">
        <x:f>IF(U41&gt;='Assumptions'!$D$8,1,0)</x:f>
        <x:v>0</x:v>
      </x:c>
      <x:c r="V49" s="51" t="n">
        <x:f>IF(V41&gt;='Assumptions'!$D$8,1,0)</x:f>
        <x:v>0</x:v>
      </x:c>
      <x:c r="W49" s="51" t="n">
        <x:f>IF(W41&gt;='Assumptions'!$D$8,1,0)</x:f>
        <x:v>0</x:v>
      </x:c>
      <x:c r="X49" s="51" t="n">
        <x:f>IF(X41&gt;='Assumptions'!$D$8,1,0)</x:f>
        <x:v>0</x:v>
      </x:c>
      <x:c r="Y49" s="51" t="n">
        <x:f>IF(Y41&gt;='Assumptions'!$D$8,1,0)</x:f>
        <x:v>0</x:v>
      </x:c>
      <x:c r="Z49" s="51" t="n">
        <x:f>IF(Z41&gt;='Assumptions'!$D$8,1,0)</x:f>
        <x:v>0</x:v>
      </x:c>
      <x:c r="AA49" s="51" t="n">
        <x:f>IF(AA41&gt;='Assumptions'!$D$8,1,0)</x:f>
        <x:v>0</x:v>
      </x:c>
      <x:c r="AB49" s="51" t="n">
        <x:f>IF(AB41&gt;='Assumptions'!$D$8,1,0)</x:f>
        <x:v>0</x:v>
      </x:c>
      <x:c r="AC49" s="51" t="n">
        <x:f>IF(AC41&gt;='Assumptions'!$D$8,1,0)</x:f>
        <x:v>0</x:v>
      </x:c>
      <x:c r="AD49" s="51" t="n">
        <x:f>IF(AD41&gt;='Assumptions'!$D$8,1,0)</x:f>
        <x:v>0</x:v>
      </x:c>
      <x:c r="AE49" s="51" t="n">
        <x:f>IF(AE41&gt;='Assumptions'!$D$8,1,0)</x:f>
        <x:v>0</x:v>
      </x:c>
      <x:c r="AF49" s="51" t="n">
        <x:f>IF(AF41&gt;='Assumptions'!$D$8,1,0)</x:f>
        <x:v>0</x:v>
      </x:c>
      <x:c r="AG49" s="51" t="n">
        <x:f>IF(AG41&gt;='Assumptions'!$D$8,1,0)</x:f>
        <x:v>0</x:v>
      </x:c>
      <x:c r="AH49" s="51" t="n">
        <x:f>IF(AH41&gt;='Assumptions'!$D$8,1,0)</x:f>
        <x:v>0</x:v>
      </x:c>
      <x:c r="AI49" s="51" t="n">
        <x:f>IF(AI41&gt;='Assumptions'!$D$8,1,0)</x:f>
        <x:v>0</x:v>
      </x:c>
      <x:c r="AJ49" s="51" t="n">
        <x:f>IF(AJ41&gt;='Assumptions'!$D$8,1,0)</x:f>
        <x:v>0</x:v>
      </x:c>
      <x:c r="AK49" s="51" t="n">
        <x:f>IF(AK41&gt;='Assumptions'!$D$8,1,0)</x:f>
        <x:v>0</x:v>
      </x:c>
      <x:c r="AL49" s="51" t="n">
        <x:f>IF(AL41&gt;='Assumptions'!$D$8,1,0)</x:f>
        <x:v>0</x:v>
      </x:c>
      <x:c r="AM49" s="51" t="n">
        <x:f>IF(AM41&gt;='Assumptions'!$D$8,1,0)</x:f>
        <x:v>0</x:v>
      </x:c>
      <x:c r="AN49" s="51" t="n">
        <x:f>IF(AN41&gt;='Assumptions'!$D$8,1,0)</x:f>
        <x:v>0</x:v>
      </x:c>
      <x:c r="AO49" s="51" t="n">
        <x:f>IF(AO41&gt;='Assumptions'!$D$8,1,0)</x:f>
        <x:v>0</x:v>
      </x:c>
      <x:c r="AP49" s="51" t="n">
        <x:f>IF(AP41&gt;='Assumptions'!$D$8,1,0)</x:f>
        <x:v>0</x:v>
      </x:c>
      <x:c r="AQ49" s="51" t="n">
        <x:f>IF(AQ41&gt;='Assumptions'!$D$8,1,0)</x:f>
        <x:v>0</x:v>
      </x:c>
      <x:c r="AR49" s="51" t="n">
        <x:f>IF(AR41&gt;='Assumptions'!$D$8,1,0)</x:f>
        <x:v>0</x:v>
      </x:c>
      <x:c r="AS49" s="51" t="n">
        <x:f>IF(AS41&gt;='Assumptions'!$D$8,1,0)</x:f>
        <x:v>0</x:v>
      </x:c>
      <x:c r="AT49" s="51" t="n">
        <x:f>IF(AT41&gt;='Assumptions'!$D$8,1,0)</x:f>
        <x:v>0</x:v>
      </x:c>
      <x:c r="AU49" s="51" t="n">
        <x:f>IF(AU41&gt;='Assumptions'!$D$8,1,0)</x:f>
        <x:v>0</x:v>
      </x:c>
      <x:c r="AV49" s="51" t="n">
        <x:f>IF(AV41&gt;='Assumptions'!$D$8,1,0)</x:f>
        <x:v>0</x:v>
      </x:c>
      <x:c r="AW49" s="51" t="n">
        <x:f>IF(AW41&gt;='Assumptions'!$D$8,1,0)</x:f>
        <x:v>0</x:v>
      </x:c>
      <x:c r="AX49" s="51" t="n">
        <x:f>IF(AX41&gt;='Assumptions'!$D$8,1,0)</x:f>
        <x:v>0</x:v>
      </x:c>
      <x:c r="AY49" s="51" t="n">
        <x:f>IF(AY41&gt;='Assumptions'!$D$8,1,0)</x:f>
        <x:v>0</x:v>
      </x:c>
      <x:c r="AZ49" s="51" t="n">
        <x:f>IF(AZ41&gt;='Assumptions'!$D$8,1,0)</x:f>
        <x:v>0</x:v>
      </x:c>
      <x:c r="BA49" s="51" t="n">
        <x:f>IF(BA41&gt;='Assumptions'!$D$8,1,0)</x:f>
        <x:v>0</x:v>
      </x:c>
      <x:c r="BB49" s="51" t="n">
        <x:f>IF(BB41&gt;='Assumptions'!$D$8,1,0)</x:f>
        <x:v>0</x:v>
      </x:c>
      <x:c r="BC49" s="51" t="n">
        <x:f>IF(BC41&gt;='Assumptions'!$D$8,1,0)</x:f>
        <x:v>0</x:v>
      </x:c>
      <x:c r="BD49" s="51" t="n">
        <x:f>IF(BD41&gt;='Assumptions'!$D$8,1,0)</x:f>
        <x:v>0</x:v>
      </x:c>
      <x:c r="BE49" s="51" t="n">
        <x:f>IF(BE41&gt;='Assumptions'!$D$8,1,0)</x:f>
        <x:v>0</x:v>
      </x:c>
      <x:c r="BF49" s="51" t="n">
        <x:f>IF(BF41&gt;='Assumptions'!$D$8,1,0)</x:f>
        <x:v>0</x:v>
      </x:c>
      <x:c r="BG49" s="51" t="n">
        <x:f>IF(BG41&gt;='Assumptions'!$D$8,1,0)</x:f>
        <x:v>0</x:v>
      </x:c>
      <x:c r="BH49" s="51" t="n">
        <x:f>IF(BH41&gt;='Assumptions'!$D$8,1,0)</x:f>
        <x:v>0</x:v>
      </x:c>
      <x:c r="BI49" s="51" t="n">
        <x:f>IF(BI41&gt;='Assumptions'!$D$8,1,0)</x:f>
        <x:v>0</x:v>
      </x:c>
      <x:c r="BJ49" s="51" t="n">
        <x:f>IF(BJ41&gt;='Assumptions'!$D$8,1,0)</x:f>
        <x:v>0</x:v>
      </x:c>
      <x:c r="BK49" s="51" t="n">
        <x:f>IF(BK41&gt;='Assumptions'!$D$8,1,0)</x:f>
        <x:v>0</x:v>
      </x:c>
      <x:c r="BL49" s="1"/>
    </x:row>
    <x:row r="50" ht="21" customHeight="1">
      <x:c r="A50" s="1"/>
      <x:c r="B50" s="1"/>
      <x:c r="C50" s="1" t="str">
        <x:v>Unrestricted cash below zero</x:v>
      </x:c>
      <x:c r="D50" s="20" t="n">
        <x:f>IF(D44&lt;0,1,0)</x:f>
        <x:v>0</x:v>
      </x:c>
      <x:c r="E50" s="20" t="n">
        <x:f>IF(E44&lt;0,1,0)</x:f>
        <x:v>0</x:v>
      </x:c>
      <x:c r="F50" s="20" t="n">
        <x:f>IF(F44&lt;0,1,0)</x:f>
        <x:v>0</x:v>
      </x:c>
      <x:c r="G50" s="20" t="n">
        <x:f>IF(G44&lt;0,1,0)</x:f>
        <x:v>0</x:v>
      </x:c>
      <x:c r="H50" s="20" t="n">
        <x:f>IF(H44&lt;0,1,0)</x:f>
        <x:v>0</x:v>
      </x:c>
      <x:c r="I50" s="20" t="n">
        <x:f>IF(I44&lt;0,1,0)</x:f>
        <x:v>0</x:v>
      </x:c>
      <x:c r="J50" s="20" t="n">
        <x:f>IF(J44&lt;0,1,0)</x:f>
        <x:v>0</x:v>
      </x:c>
      <x:c r="K50" s="20" t="n">
        <x:f>IF(K44&lt;0,1,0)</x:f>
        <x:v>0</x:v>
      </x:c>
      <x:c r="L50" s="20" t="n">
        <x:f>IF(L44&lt;0,1,0)</x:f>
        <x:v>0</x:v>
      </x:c>
      <x:c r="M50" s="20" t="n">
        <x:f>IF(M44&lt;0,1,0)</x:f>
        <x:v>0</x:v>
      </x:c>
      <x:c r="N50" s="20" t="n">
        <x:f>IF(N44&lt;0,1,0)</x:f>
        <x:v>0</x:v>
      </x:c>
      <x:c r="O50" s="20" t="n">
        <x:f>IF(O44&lt;0,1,0)</x:f>
        <x:v>0</x:v>
      </x:c>
      <x:c r="P50" s="20" t="n">
        <x:f>IF(P44&lt;0,1,0)</x:f>
        <x:v>0</x:v>
      </x:c>
      <x:c r="Q50" s="20" t="n">
        <x:f>IF(Q44&lt;0,1,0)</x:f>
        <x:v>0</x:v>
      </x:c>
      <x:c r="R50" s="20" t="n">
        <x:f>IF(R44&lt;0,1,0)</x:f>
        <x:v>0</x:v>
      </x:c>
      <x:c r="S50" s="20" t="n">
        <x:f>IF(S44&lt;0,1,0)</x:f>
        <x:v>0</x:v>
      </x:c>
      <x:c r="T50" s="20" t="n">
        <x:f>IF(T44&lt;0,1,0)</x:f>
        <x:v>0</x:v>
      </x:c>
      <x:c r="U50" s="20" t="n">
        <x:f>IF(U44&lt;0,1,0)</x:f>
        <x:v>0</x:v>
      </x:c>
      <x:c r="V50" s="20" t="n">
        <x:f>IF(V44&lt;0,1,0)</x:f>
        <x:v>0</x:v>
      </x:c>
      <x:c r="W50" s="20" t="n">
        <x:f>IF(W44&lt;0,1,0)</x:f>
        <x:v>0</x:v>
      </x:c>
      <x:c r="X50" s="20" t="n">
        <x:f>IF(X44&lt;0,1,0)</x:f>
        <x:v>0</x:v>
      </x:c>
      <x:c r="Y50" s="20" t="n">
        <x:f>IF(Y44&lt;0,1,0)</x:f>
        <x:v>0</x:v>
      </x:c>
      <x:c r="Z50" s="20" t="n">
        <x:f>IF(Z44&lt;0,1,0)</x:f>
        <x:v>0</x:v>
      </x:c>
      <x:c r="AA50" s="20" t="n">
        <x:f>IF(AA44&lt;0,1,0)</x:f>
        <x:v>0</x:v>
      </x:c>
      <x:c r="AB50" s="20" t="n">
        <x:f>IF(AB44&lt;0,1,0)</x:f>
        <x:v>0</x:v>
      </x:c>
      <x:c r="AC50" s="20" t="n">
        <x:f>IF(AC44&lt;0,1,0)</x:f>
        <x:v>0</x:v>
      </x:c>
      <x:c r="AD50" s="20" t="n">
        <x:f>IF(AD44&lt;0,1,0)</x:f>
        <x:v>0</x:v>
      </x:c>
      <x:c r="AE50" s="20" t="n">
        <x:f>IF(AE44&lt;0,1,0)</x:f>
        <x:v>0</x:v>
      </x:c>
      <x:c r="AF50" s="20" t="n">
        <x:f>IF(AF44&lt;0,1,0)</x:f>
        <x:v>0</x:v>
      </x:c>
      <x:c r="AG50" s="20" t="n">
        <x:f>IF(AG44&lt;0,1,0)</x:f>
        <x:v>1</x:v>
      </x:c>
      <x:c r="AH50" s="20" t="n">
        <x:f>IF(AH44&lt;0,1,0)</x:f>
        <x:v>1</x:v>
      </x:c>
      <x:c r="AI50" s="20" t="n">
        <x:f>IF(AI44&lt;0,1,0)</x:f>
        <x:v>1</x:v>
      </x:c>
      <x:c r="AJ50" s="20" t="n">
        <x:f>IF(AJ44&lt;0,1,0)</x:f>
        <x:v>1</x:v>
      </x:c>
      <x:c r="AK50" s="20" t="n">
        <x:f>IF(AK44&lt;0,1,0)</x:f>
        <x:v>1</x:v>
      </x:c>
      <x:c r="AL50" s="20" t="n">
        <x:f>IF(AL44&lt;0,1,0)</x:f>
        <x:v>1</x:v>
      </x:c>
      <x:c r="AM50" s="20" t="n">
        <x:f>IF(AM44&lt;0,1,0)</x:f>
        <x:v>1</x:v>
      </x:c>
      <x:c r="AN50" s="20" t="n">
        <x:f>IF(AN44&lt;0,1,0)</x:f>
        <x:v>1</x:v>
      </x:c>
      <x:c r="AO50" s="20" t="n">
        <x:f>IF(AO44&lt;0,1,0)</x:f>
        <x:v>1</x:v>
      </x:c>
      <x:c r="AP50" s="20" t="n">
        <x:f>IF(AP44&lt;0,1,0)</x:f>
        <x:v>1</x:v>
      </x:c>
      <x:c r="AQ50" s="20" t="n">
        <x:f>IF(AQ44&lt;0,1,0)</x:f>
        <x:v>1</x:v>
      </x:c>
      <x:c r="AR50" s="20" t="n">
        <x:f>IF(AR44&lt;0,1,0)</x:f>
        <x:v>1</x:v>
      </x:c>
      <x:c r="AS50" s="20" t="n">
        <x:f>IF(AS44&lt;0,1,0)</x:f>
        <x:v>1</x:v>
      </x:c>
      <x:c r="AT50" s="20" t="n">
        <x:f>IF(AT44&lt;0,1,0)</x:f>
        <x:v>1</x:v>
      </x:c>
      <x:c r="AU50" s="20" t="n">
        <x:f>IF(AU44&lt;0,1,0)</x:f>
        <x:v>1</x:v>
      </x:c>
      <x:c r="AV50" s="20" t="n">
        <x:f>IF(AV44&lt;0,1,0)</x:f>
        <x:v>1</x:v>
      </x:c>
      <x:c r="AW50" s="20" t="n">
        <x:f>IF(AW44&lt;0,1,0)</x:f>
        <x:v>1</x:v>
      </x:c>
      <x:c r="AX50" s="20" t="n">
        <x:f>IF(AX44&lt;0,1,0)</x:f>
        <x:v>1</x:v>
      </x:c>
      <x:c r="AY50" s="20" t="n">
        <x:f>IF(AY44&lt;0,1,0)</x:f>
        <x:v>1</x:v>
      </x:c>
      <x:c r="AZ50" s="20" t="n">
        <x:f>IF(AZ44&lt;0,1,0)</x:f>
        <x:v>1</x:v>
      </x:c>
      <x:c r="BA50" s="20" t="n">
        <x:f>IF(BA44&lt;0,1,0)</x:f>
        <x:v>1</x:v>
      </x:c>
      <x:c r="BB50" s="20" t="n">
        <x:f>IF(BB44&lt;0,1,0)</x:f>
        <x:v>1</x:v>
      </x:c>
      <x:c r="BC50" s="20" t="n">
        <x:f>IF(BC44&lt;0,1,0)</x:f>
        <x:v>1</x:v>
      </x:c>
      <x:c r="BD50" s="20" t="n">
        <x:f>IF(BD44&lt;0,1,0)</x:f>
        <x:v>1</x:v>
      </x:c>
      <x:c r="BE50" s="20" t="n">
        <x:f>IF(BE44&lt;0,1,0)</x:f>
        <x:v>1</x:v>
      </x:c>
      <x:c r="BF50" s="20" t="n">
        <x:f>IF(BF44&lt;0,1,0)</x:f>
        <x:v>1</x:v>
      </x:c>
      <x:c r="BG50" s="20" t="n">
        <x:f>IF(BG44&lt;0,1,0)</x:f>
        <x:v>1</x:v>
      </x:c>
      <x:c r="BH50" s="20" t="n">
        <x:f>IF(BH44&lt;0,1,0)</x:f>
        <x:v>1</x:v>
      </x:c>
      <x:c r="BI50" s="20" t="n">
        <x:f>IF(BI44&lt;0,1,0)</x:f>
        <x:v>1</x:v>
      </x:c>
      <x:c r="BJ50" s="20" t="n">
        <x:f>IF(BJ44&lt;0,1,0)</x:f>
        <x:v>1</x:v>
      </x:c>
      <x:c r="BK50" s="20" t="n">
        <x:f>IF(BK44&lt;0,1,0)</x:f>
        <x:v>1</x:v>
      </x:c>
      <x:c r="BL50" s="1"/>
    </x:row>
    <x:row r="51" ht="21" customHeight="1">
      <x:c r="A51" s="1"/>
      <x:c r="B51" s="1"/>
      <x:c r="C51" s="1" t="str">
        <x:v>Protected contingency needed</x:v>
      </x:c>
      <x:c r="D51" s="20" t="n">
        <x:f>IF(D45&lt;0,1,0)</x:f>
        <x:v>0</x:v>
      </x:c>
      <x:c r="E51" s="20" t="n">
        <x:f>IF(E45&lt;0,1,0)</x:f>
        <x:v>0</x:v>
      </x:c>
      <x:c r="F51" s="20" t="n">
        <x:f>IF(F45&lt;0,1,0)</x:f>
        <x:v>0</x:v>
      </x:c>
      <x:c r="G51" s="20" t="n">
        <x:f>IF(G45&lt;0,1,0)</x:f>
        <x:v>0</x:v>
      </x:c>
      <x:c r="H51" s="20" t="n">
        <x:f>IF(H45&lt;0,1,0)</x:f>
        <x:v>0</x:v>
      </x:c>
      <x:c r="I51" s="20" t="n">
        <x:f>IF(I45&lt;0,1,0)</x:f>
        <x:v>0</x:v>
      </x:c>
      <x:c r="J51" s="20" t="n">
        <x:f>IF(J45&lt;0,1,0)</x:f>
        <x:v>0</x:v>
      </x:c>
      <x:c r="K51" s="20" t="n">
        <x:f>IF(K45&lt;0,1,0)</x:f>
        <x:v>0</x:v>
      </x:c>
      <x:c r="L51" s="20" t="n">
        <x:f>IF(L45&lt;0,1,0)</x:f>
        <x:v>0</x:v>
      </x:c>
      <x:c r="M51" s="20" t="n">
        <x:f>IF(M45&lt;0,1,0)</x:f>
        <x:v>0</x:v>
      </x:c>
      <x:c r="N51" s="20" t="n">
        <x:f>IF(N45&lt;0,1,0)</x:f>
        <x:v>0</x:v>
      </x:c>
      <x:c r="O51" s="20" t="n">
        <x:f>IF(O45&lt;0,1,0)</x:f>
        <x:v>0</x:v>
      </x:c>
      <x:c r="P51" s="20" t="n">
        <x:f>IF(P45&lt;0,1,0)</x:f>
        <x:v>0</x:v>
      </x:c>
      <x:c r="Q51" s="20" t="n">
        <x:f>IF(Q45&lt;0,1,0)</x:f>
        <x:v>0</x:v>
      </x:c>
      <x:c r="R51" s="20" t="n">
        <x:f>IF(R45&lt;0,1,0)</x:f>
        <x:v>0</x:v>
      </x:c>
      <x:c r="S51" s="20" t="n">
        <x:f>IF(S45&lt;0,1,0)</x:f>
        <x:v>0</x:v>
      </x:c>
      <x:c r="T51" s="20" t="n">
        <x:f>IF(T45&lt;0,1,0)</x:f>
        <x:v>0</x:v>
      </x:c>
      <x:c r="U51" s="20" t="n">
        <x:f>IF(U45&lt;0,1,0)</x:f>
        <x:v>0</x:v>
      </x:c>
      <x:c r="V51" s="20" t="n">
        <x:f>IF(V45&lt;0,1,0)</x:f>
        <x:v>0</x:v>
      </x:c>
      <x:c r="W51" s="20" t="n">
        <x:f>IF(W45&lt;0,1,0)</x:f>
        <x:v>0</x:v>
      </x:c>
      <x:c r="X51" s="20" t="n">
        <x:f>IF(X45&lt;0,1,0)</x:f>
        <x:v>0</x:v>
      </x:c>
      <x:c r="Y51" s="20" t="n">
        <x:f>IF(Y45&lt;0,1,0)</x:f>
        <x:v>0</x:v>
      </x:c>
      <x:c r="Z51" s="20" t="n">
        <x:f>IF(Z45&lt;0,1,0)</x:f>
        <x:v>1</x:v>
      </x:c>
      <x:c r="AA51" s="20" t="n">
        <x:f>IF(AA45&lt;0,1,0)</x:f>
        <x:v>1</x:v>
      </x:c>
      <x:c r="AB51" s="20" t="n">
        <x:f>IF(AB45&lt;0,1,0)</x:f>
        <x:v>1</x:v>
      </x:c>
      <x:c r="AC51" s="20" t="n">
        <x:f>IF(AC45&lt;0,1,0)</x:f>
        <x:v>1</x:v>
      </x:c>
      <x:c r="AD51" s="20" t="n">
        <x:f>IF(AD45&lt;0,1,0)</x:f>
        <x:v>1</x:v>
      </x:c>
      <x:c r="AE51" s="20" t="n">
        <x:f>IF(AE45&lt;0,1,0)</x:f>
        <x:v>1</x:v>
      </x:c>
      <x:c r="AF51" s="20" t="n">
        <x:f>IF(AF45&lt;0,1,0)</x:f>
        <x:v>1</x:v>
      </x:c>
      <x:c r="AG51" s="20" t="n">
        <x:f>IF(AG45&lt;0,1,0)</x:f>
        <x:v>1</x:v>
      </x:c>
      <x:c r="AH51" s="20" t="n">
        <x:f>IF(AH45&lt;0,1,0)</x:f>
        <x:v>1</x:v>
      </x:c>
      <x:c r="AI51" s="20" t="n">
        <x:f>IF(AI45&lt;0,1,0)</x:f>
        <x:v>1</x:v>
      </x:c>
      <x:c r="AJ51" s="20" t="n">
        <x:f>IF(AJ45&lt;0,1,0)</x:f>
        <x:v>1</x:v>
      </x:c>
      <x:c r="AK51" s="20" t="n">
        <x:f>IF(AK45&lt;0,1,0)</x:f>
        <x:v>1</x:v>
      </x:c>
      <x:c r="AL51" s="20" t="n">
        <x:f>IF(AL45&lt;0,1,0)</x:f>
        <x:v>1</x:v>
      </x:c>
      <x:c r="AM51" s="20" t="n">
        <x:f>IF(AM45&lt;0,1,0)</x:f>
        <x:v>1</x:v>
      </x:c>
      <x:c r="AN51" s="20" t="n">
        <x:f>IF(AN45&lt;0,1,0)</x:f>
        <x:v>1</x:v>
      </x:c>
      <x:c r="AO51" s="20" t="n">
        <x:f>IF(AO45&lt;0,1,0)</x:f>
        <x:v>1</x:v>
      </x:c>
      <x:c r="AP51" s="20" t="n">
        <x:f>IF(AP45&lt;0,1,0)</x:f>
        <x:v>1</x:v>
      </x:c>
      <x:c r="AQ51" s="20" t="n">
        <x:f>IF(AQ45&lt;0,1,0)</x:f>
        <x:v>1</x:v>
      </x:c>
      <x:c r="AR51" s="20" t="n">
        <x:f>IF(AR45&lt;0,1,0)</x:f>
        <x:v>1</x:v>
      </x:c>
      <x:c r="AS51" s="20" t="n">
        <x:f>IF(AS45&lt;0,1,0)</x:f>
        <x:v>1</x:v>
      </x:c>
      <x:c r="AT51" s="20" t="n">
        <x:f>IF(AT45&lt;0,1,0)</x:f>
        <x:v>1</x:v>
      </x:c>
      <x:c r="AU51" s="20" t="n">
        <x:f>IF(AU45&lt;0,1,0)</x:f>
        <x:v>1</x:v>
      </x:c>
      <x:c r="AV51" s="20" t="n">
        <x:f>IF(AV45&lt;0,1,0)</x:f>
        <x:v>1</x:v>
      </x:c>
      <x:c r="AW51" s="20" t="n">
        <x:f>IF(AW45&lt;0,1,0)</x:f>
        <x:v>1</x:v>
      </x:c>
      <x:c r="AX51" s="20" t="n">
        <x:f>IF(AX45&lt;0,1,0)</x:f>
        <x:v>1</x:v>
      </x:c>
      <x:c r="AY51" s="20" t="n">
        <x:f>IF(AY45&lt;0,1,0)</x:f>
        <x:v>1</x:v>
      </x:c>
      <x:c r="AZ51" s="20" t="n">
        <x:f>IF(AZ45&lt;0,1,0)</x:f>
        <x:v>1</x:v>
      </x:c>
      <x:c r="BA51" s="20" t="n">
        <x:f>IF(BA45&lt;0,1,0)</x:f>
        <x:v>1</x:v>
      </x:c>
      <x:c r="BB51" s="20" t="n">
        <x:f>IF(BB45&lt;0,1,0)</x:f>
        <x:v>1</x:v>
      </x:c>
      <x:c r="BC51" s="20" t="n">
        <x:f>IF(BC45&lt;0,1,0)</x:f>
        <x:v>1</x:v>
      </x:c>
      <x:c r="BD51" s="20" t="n">
        <x:f>IF(BD45&lt;0,1,0)</x:f>
        <x:v>1</x:v>
      </x:c>
      <x:c r="BE51" s="20" t="n">
        <x:f>IF(BE45&lt;0,1,0)</x:f>
        <x:v>1</x:v>
      </x:c>
      <x:c r="BF51" s="20" t="n">
        <x:f>IF(BF45&lt;0,1,0)</x:f>
        <x:v>1</x:v>
      </x:c>
      <x:c r="BG51" s="20" t="n">
        <x:f>IF(BG45&lt;0,1,0)</x:f>
        <x:v>1</x:v>
      </x:c>
      <x:c r="BH51" s="20" t="n">
        <x:f>IF(BH45&lt;0,1,0)</x:f>
        <x:v>1</x:v>
      </x:c>
      <x:c r="BI51" s="20" t="n">
        <x:f>IF(BI45&lt;0,1,0)</x:f>
        <x:v>1</x:v>
      </x:c>
      <x:c r="BJ51" s="20" t="n">
        <x:f>IF(BJ45&lt;0,1,0)</x:f>
        <x:v>1</x:v>
      </x:c>
      <x:c r="BK51" s="20" t="n">
        <x:f>IF(BK45&lt;0,1,0)</x:f>
        <x:v>1</x:v>
      </x:c>
      <x:c r="BL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</x:row>
    <x:row r="86" ht="21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</x:row>
    <x:row r="87" ht="21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</x:row>
    <x:row r="88" ht="21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</x:row>
    <x:row r="89" ht="21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</x:row>
    <x:row r="90" ht="21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</x:row>
    <x:row r="92" ht="21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</x:row>
    <x:row r="93" ht="21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</x:row>
    <x:row r="94" ht="21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</x:row>
    <x:row r="95" ht="21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</x:row>
    <x:row r="96" ht="21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</x:row>
    <x:row r="97" ht="21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</x:row>
    <x:row r="98" ht="21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</x:row>
    <x:row r="99" ht="21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</x:row>
    <x:row r="100" ht="21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</x:row>
    <x:row r="101" ht="21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</x:row>
    <x:row r="102" ht="21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</x:row>
    <x:row r="103" ht="21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</x:row>
    <x:row r="104" ht="21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</x:row>
    <x:row r="105" ht="21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</x:row>
    <x:row r="106" ht="21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</x:row>
    <x:row r="107" ht="21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</x:row>
    <x:row r="108" ht="21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</x:row>
    <x:row r="109" ht="21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</x:row>
    <x:row r="110" ht="21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</x:row>
    <x:row r="111" ht="21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</x:row>
    <x:row r="112" ht="21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</x:row>
    <x:row r="126" ht="21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</x:row>
    <x:row r="128" ht="21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</x:row>
    <x:row r="129" ht="21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</x:row>
    <x:row r="130" ht="21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</x:row>
    <x:row r="131" ht="21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</x:row>
    <x:row r="132" ht="21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</x:row>
  </x:sheetData>
  <x:conditionalFormatting sqref="D44:BK45">
    <x:cfRule type="cellIs" dxfId="0" priority="1" operator="lessThan">
      <x:formula>0</x:formula>
    </x:cfRule>
  </x:conditionalFormatting>
  <x:pageMargins left="0.7" right="0.7" top="0.75" bottom="0.75" header="0.3" footer="0.3"/>
</x:worksheet>
</file>